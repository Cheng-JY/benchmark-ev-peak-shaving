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fraunhofer-my.sharepoint.com/personal/jiaying_cheng_iee_fraunhofer_de/Documents/Dokumente/ekfzladeprofile/ekfzladeprofile/ekfzladeprofile/ladeprofile/"/>
    </mc:Choice>
  </mc:AlternateContent>
  <xr:revisionPtr revIDLastSave="0" documentId="11_DD2C8ED879B508B0EF5CDEADC5EDE59BD02A9540" xr6:coauthVersionLast="47" xr6:coauthVersionMax="47" xr10:uidLastSave="{00000000-0000-0000-0000-000000000000}"/>
  <bookViews>
    <workbookView xWindow="7650" yWindow="-9240" windowWidth="19185" windowHeight="10305" activeTab="8" xr2:uid="{00000000-000D-0000-FFFF-FFFF00000000}"/>
  </bookViews>
  <sheets>
    <sheet name="Szenariodefinition" sheetId="1" r:id="rId1"/>
    <sheet name="Szenariojahre" sheetId="2" r:id="rId2"/>
    <sheet name="Mobilitätsgruppen" sheetId="3" r:id="rId3"/>
    <sheet name="Fahrzeug" sheetId="4" r:id="rId4"/>
    <sheet name="Batteriekapazitaet" sheetId="5" r:id="rId5"/>
    <sheet name="Fahrzeug_alle_Jahre" sheetId="6" r:id="rId6"/>
    <sheet name="Laden_Wirkungsgrad" sheetId="7" r:id="rId7"/>
    <sheet name="Ladeleistung_real" sheetId="8" r:id="rId8"/>
    <sheet name="Ladetyp" sheetId="9" r:id="rId9"/>
    <sheet name="Ladeleistung" sheetId="10" r:id="rId10"/>
    <sheet name="Ladewahrscheinlichkeit" sheetId="11" r:id="rId11"/>
    <sheet name="Temperaturabhaengigkei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12" l="1"/>
  <c r="E62" i="12"/>
  <c r="D62" i="12"/>
  <c r="J61" i="12"/>
  <c r="E61" i="12"/>
  <c r="D61" i="12"/>
  <c r="J60" i="12"/>
  <c r="E60" i="12"/>
  <c r="D60" i="12"/>
  <c r="J59" i="12"/>
  <c r="E59" i="12"/>
  <c r="D59" i="12"/>
  <c r="J58" i="12"/>
  <c r="E58" i="12"/>
  <c r="D58" i="12"/>
  <c r="C58" i="12"/>
  <c r="F58" i="12" s="1"/>
  <c r="G58" i="12" s="1"/>
  <c r="J57" i="12"/>
  <c r="E57" i="12"/>
  <c r="D57" i="12"/>
  <c r="J56" i="12"/>
  <c r="E56" i="12"/>
  <c r="D56" i="12"/>
  <c r="J55" i="12"/>
  <c r="E55" i="12"/>
  <c r="D55" i="12"/>
  <c r="J54" i="12"/>
  <c r="E54" i="12"/>
  <c r="D54" i="12"/>
  <c r="C54" i="12"/>
  <c r="F54" i="12" s="1"/>
  <c r="G54" i="12" s="1"/>
  <c r="J53" i="12"/>
  <c r="E53" i="12"/>
  <c r="D53" i="12"/>
  <c r="J52" i="12"/>
  <c r="E52" i="12"/>
  <c r="D52" i="12"/>
  <c r="J51" i="12"/>
  <c r="E51" i="12"/>
  <c r="D51" i="12"/>
  <c r="J50" i="12"/>
  <c r="E50" i="12"/>
  <c r="D50" i="12"/>
  <c r="C50" i="12"/>
  <c r="F50" i="12" s="1"/>
  <c r="G50" i="12" s="1"/>
  <c r="J49" i="12"/>
  <c r="E49" i="12"/>
  <c r="D49" i="12"/>
  <c r="J48" i="12"/>
  <c r="E48" i="12"/>
  <c r="D48" i="12"/>
  <c r="J47" i="12"/>
  <c r="E47" i="12"/>
  <c r="D47" i="12"/>
  <c r="J46" i="12"/>
  <c r="E46" i="12"/>
  <c r="D46" i="12"/>
  <c r="C46" i="12"/>
  <c r="F46" i="12" s="1"/>
  <c r="G46" i="12" s="1"/>
  <c r="J45" i="12"/>
  <c r="E45" i="12"/>
  <c r="D45" i="12"/>
  <c r="J44" i="12"/>
  <c r="E44" i="12"/>
  <c r="D44" i="12"/>
  <c r="J43" i="12"/>
  <c r="E43" i="12"/>
  <c r="D43" i="12"/>
  <c r="J42" i="12"/>
  <c r="E42" i="12"/>
  <c r="D42" i="12"/>
  <c r="C42" i="12"/>
  <c r="F42" i="12" s="1"/>
  <c r="G42" i="12" s="1"/>
  <c r="J41" i="12"/>
  <c r="E41" i="12"/>
  <c r="D41" i="12"/>
  <c r="J40" i="12"/>
  <c r="E40" i="12"/>
  <c r="D40" i="12"/>
  <c r="J39" i="12"/>
  <c r="E39" i="12"/>
  <c r="D39" i="12"/>
  <c r="J38" i="12"/>
  <c r="E38" i="12"/>
  <c r="D38" i="12"/>
  <c r="C38" i="12"/>
  <c r="F38" i="12" s="1"/>
  <c r="G38" i="12" s="1"/>
  <c r="J37" i="12"/>
  <c r="E37" i="12"/>
  <c r="D37" i="12"/>
  <c r="J36" i="12"/>
  <c r="E36" i="12"/>
  <c r="D36" i="12"/>
  <c r="J35" i="12"/>
  <c r="E35" i="12"/>
  <c r="D35" i="12"/>
  <c r="C35" i="12"/>
  <c r="F35" i="12" s="1"/>
  <c r="G35" i="12" s="1"/>
  <c r="J34" i="12"/>
  <c r="E34" i="12"/>
  <c r="D34" i="12"/>
  <c r="C34" i="12"/>
  <c r="F34" i="12" s="1"/>
  <c r="G34" i="12" s="1"/>
  <c r="J33" i="12"/>
  <c r="E33" i="12"/>
  <c r="D33" i="12"/>
  <c r="J32" i="12"/>
  <c r="E32" i="12"/>
  <c r="D32" i="12"/>
  <c r="J31" i="12"/>
  <c r="E31" i="12"/>
  <c r="D31" i="12"/>
  <c r="C31" i="12"/>
  <c r="F31" i="12" s="1"/>
  <c r="G31" i="12" s="1"/>
  <c r="J30" i="12"/>
  <c r="E30" i="12"/>
  <c r="D30" i="12"/>
  <c r="C30" i="12"/>
  <c r="F30" i="12" s="1"/>
  <c r="G30" i="12" s="1"/>
  <c r="J29" i="12"/>
  <c r="E29" i="12"/>
  <c r="D29" i="12"/>
  <c r="J28" i="12"/>
  <c r="E28" i="12"/>
  <c r="D28" i="12"/>
  <c r="J27" i="12"/>
  <c r="E27" i="12"/>
  <c r="D27" i="12"/>
  <c r="C27" i="12"/>
  <c r="F27" i="12" s="1"/>
  <c r="G27" i="12" s="1"/>
  <c r="J26" i="12"/>
  <c r="E26" i="12"/>
  <c r="D26" i="12"/>
  <c r="C26" i="12"/>
  <c r="F26" i="12" s="1"/>
  <c r="G26" i="12" s="1"/>
  <c r="J25" i="12"/>
  <c r="E25" i="12"/>
  <c r="D25" i="12"/>
  <c r="J24" i="12"/>
  <c r="E24" i="12"/>
  <c r="D24" i="12"/>
  <c r="J23" i="12"/>
  <c r="E23" i="12"/>
  <c r="D23" i="12"/>
  <c r="C23" i="12"/>
  <c r="F23" i="12" s="1"/>
  <c r="G23" i="12" s="1"/>
  <c r="J22" i="12"/>
  <c r="E22" i="12"/>
  <c r="D22" i="12"/>
  <c r="C22" i="12"/>
  <c r="F22" i="12" s="1"/>
  <c r="G22" i="12" s="1"/>
  <c r="J21" i="12"/>
  <c r="E21" i="12"/>
  <c r="D21" i="12"/>
  <c r="J20" i="12"/>
  <c r="E20" i="12"/>
  <c r="D20" i="12"/>
  <c r="J19" i="12"/>
  <c r="E19" i="12"/>
  <c r="D19" i="12"/>
  <c r="C19" i="12"/>
  <c r="F19" i="12" s="1"/>
  <c r="G19" i="12" s="1"/>
  <c r="J18" i="12"/>
  <c r="E18" i="12"/>
  <c r="D18" i="12"/>
  <c r="C18" i="12"/>
  <c r="F18" i="12" s="1"/>
  <c r="G18" i="12" s="1"/>
  <c r="J17" i="12"/>
  <c r="E17" i="12"/>
  <c r="D17" i="12"/>
  <c r="J16" i="12"/>
  <c r="E16" i="12"/>
  <c r="D16" i="12"/>
  <c r="J15" i="12"/>
  <c r="E15" i="12"/>
  <c r="D15" i="12"/>
  <c r="C15" i="12"/>
  <c r="F15" i="12" s="1"/>
  <c r="G15" i="12" s="1"/>
  <c r="J14" i="12"/>
  <c r="E14" i="12"/>
  <c r="D14" i="12"/>
  <c r="C14" i="12"/>
  <c r="F14" i="12" s="1"/>
  <c r="G14" i="12" s="1"/>
  <c r="J13" i="12"/>
  <c r="E13" i="12"/>
  <c r="D13" i="12"/>
  <c r="J12" i="12"/>
  <c r="E12" i="12"/>
  <c r="D12" i="12"/>
  <c r="J11" i="12"/>
  <c r="E11" i="12"/>
  <c r="D11" i="12"/>
  <c r="C11" i="12"/>
  <c r="F11" i="12" s="1"/>
  <c r="G11" i="12" s="1"/>
  <c r="J10" i="12"/>
  <c r="E10" i="12"/>
  <c r="D10" i="12"/>
  <c r="C10" i="12"/>
  <c r="F10" i="12" s="1"/>
  <c r="G10" i="12" s="1"/>
  <c r="J9" i="12"/>
  <c r="E9" i="12"/>
  <c r="D9" i="12"/>
  <c r="J8" i="12"/>
  <c r="E8" i="12"/>
  <c r="D8" i="12"/>
  <c r="J7" i="12"/>
  <c r="E7" i="12"/>
  <c r="D7" i="12"/>
  <c r="C7" i="12"/>
  <c r="F7" i="12" s="1"/>
  <c r="G7" i="12" s="1"/>
  <c r="J6" i="12"/>
  <c r="E6" i="12"/>
  <c r="D6" i="12"/>
  <c r="C6" i="12"/>
  <c r="F6" i="12" s="1"/>
  <c r="G6" i="12" s="1"/>
  <c r="N5" i="12"/>
  <c r="J5" i="12"/>
  <c r="E5" i="12"/>
  <c r="D5" i="12"/>
  <c r="N4" i="12"/>
  <c r="J4" i="12"/>
  <c r="E4" i="12"/>
  <c r="D4" i="12"/>
  <c r="N3" i="12"/>
  <c r="C60" i="12" s="1"/>
  <c r="F60" i="12" s="1"/>
  <c r="G60" i="12" s="1"/>
  <c r="J3" i="12"/>
  <c r="E3" i="12"/>
  <c r="D3" i="12"/>
  <c r="N2" i="12"/>
  <c r="J2" i="12"/>
  <c r="E2" i="12"/>
  <c r="D2" i="12"/>
  <c r="F5" i="9"/>
  <c r="F4" i="9"/>
  <c r="F3" i="9"/>
  <c r="F2" i="9"/>
  <c r="L5" i="8"/>
  <c r="K5" i="8"/>
  <c r="J5" i="8"/>
  <c r="I5" i="8"/>
  <c r="H5" i="8"/>
  <c r="G5" i="8"/>
  <c r="F5" i="8"/>
  <c r="E5" i="8"/>
  <c r="D5" i="8"/>
  <c r="C5" i="8"/>
  <c r="B5" i="8"/>
  <c r="L4" i="8"/>
  <c r="K4" i="8"/>
  <c r="J4" i="8"/>
  <c r="I4" i="8"/>
  <c r="H4" i="8"/>
  <c r="G4" i="8"/>
  <c r="F4" i="8"/>
  <c r="E4" i="8"/>
  <c r="D4" i="8"/>
  <c r="C4" i="8"/>
  <c r="B4" i="8"/>
  <c r="L3" i="8"/>
  <c r="K3" i="8"/>
  <c r="J3" i="8"/>
  <c r="I3" i="8"/>
  <c r="H3" i="8"/>
  <c r="G3" i="8"/>
  <c r="F3" i="8"/>
  <c r="E3" i="8"/>
  <c r="D3" i="8"/>
  <c r="C3" i="8"/>
  <c r="B3" i="8"/>
  <c r="L2" i="8"/>
  <c r="K2" i="8"/>
  <c r="J2" i="8"/>
  <c r="I2" i="8"/>
  <c r="H2" i="8"/>
  <c r="G2" i="8"/>
  <c r="F2" i="8"/>
  <c r="E2" i="8"/>
  <c r="D2" i="8"/>
  <c r="C2" i="8"/>
  <c r="B2" i="8"/>
  <c r="Q7" i="4"/>
  <c r="R6" i="4"/>
  <c r="R5" i="4"/>
  <c r="R4" i="4"/>
  <c r="R3" i="4"/>
  <c r="R7" i="4" s="1"/>
  <c r="E65" i="3"/>
  <c r="D65" i="3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C39" i="12" l="1"/>
  <c r="F39" i="12" s="1"/>
  <c r="G39" i="12" s="1"/>
  <c r="C43" i="12"/>
  <c r="F43" i="12" s="1"/>
  <c r="G43" i="12" s="1"/>
  <c r="C47" i="12"/>
  <c r="F47" i="12" s="1"/>
  <c r="G47" i="12" s="1"/>
  <c r="C51" i="12"/>
  <c r="F51" i="12" s="1"/>
  <c r="G51" i="12" s="1"/>
  <c r="C55" i="12"/>
  <c r="F55" i="12" s="1"/>
  <c r="G55" i="12" s="1"/>
  <c r="C59" i="12"/>
  <c r="F59" i="12" s="1"/>
  <c r="G59" i="12" s="1"/>
  <c r="C62" i="12"/>
  <c r="F62" i="12" s="1"/>
  <c r="G62" i="12" s="1"/>
  <c r="C4" i="12"/>
  <c r="F4" i="12" s="1"/>
  <c r="G4" i="12" s="1"/>
  <c r="C9" i="12"/>
  <c r="F9" i="12" s="1"/>
  <c r="G9" i="12" s="1"/>
  <c r="C13" i="12"/>
  <c r="F13" i="12" s="1"/>
  <c r="G13" i="12" s="1"/>
  <c r="C17" i="12"/>
  <c r="F17" i="12" s="1"/>
  <c r="G17" i="12" s="1"/>
  <c r="C21" i="12"/>
  <c r="F21" i="12" s="1"/>
  <c r="G21" i="12" s="1"/>
  <c r="C25" i="12"/>
  <c r="F25" i="12" s="1"/>
  <c r="G25" i="12" s="1"/>
  <c r="C29" i="12"/>
  <c r="F29" i="12" s="1"/>
  <c r="G29" i="12" s="1"/>
  <c r="C33" i="12"/>
  <c r="F33" i="12" s="1"/>
  <c r="G33" i="12" s="1"/>
  <c r="C37" i="12"/>
  <c r="F37" i="12" s="1"/>
  <c r="G37" i="12" s="1"/>
  <c r="C41" i="12"/>
  <c r="F41" i="12" s="1"/>
  <c r="G41" i="12" s="1"/>
  <c r="C45" i="12"/>
  <c r="F45" i="12" s="1"/>
  <c r="G45" i="12" s="1"/>
  <c r="C49" i="12"/>
  <c r="F49" i="12" s="1"/>
  <c r="G49" i="12" s="1"/>
  <c r="C53" i="12"/>
  <c r="F53" i="12" s="1"/>
  <c r="G53" i="12" s="1"/>
  <c r="C57" i="12"/>
  <c r="F57" i="12" s="1"/>
  <c r="G57" i="12" s="1"/>
  <c r="C61" i="12"/>
  <c r="F61" i="12" s="1"/>
  <c r="G61" i="12" s="1"/>
  <c r="C5" i="12"/>
  <c r="F5" i="12" s="1"/>
  <c r="G5" i="12" s="1"/>
  <c r="C3" i="12"/>
  <c r="F3" i="12" s="1"/>
  <c r="G3" i="12" s="1"/>
  <c r="C2" i="12"/>
  <c r="F2" i="12" s="1"/>
  <c r="G2" i="12" s="1"/>
  <c r="C8" i="12"/>
  <c r="F8" i="12" s="1"/>
  <c r="G8" i="12" s="1"/>
  <c r="C12" i="12"/>
  <c r="F12" i="12" s="1"/>
  <c r="G12" i="12" s="1"/>
  <c r="C16" i="12"/>
  <c r="F16" i="12" s="1"/>
  <c r="G16" i="12" s="1"/>
  <c r="C20" i="12"/>
  <c r="F20" i="12" s="1"/>
  <c r="G20" i="12" s="1"/>
  <c r="C24" i="12"/>
  <c r="F24" i="12" s="1"/>
  <c r="G24" i="12" s="1"/>
  <c r="C28" i="12"/>
  <c r="F28" i="12" s="1"/>
  <c r="G28" i="12" s="1"/>
  <c r="C32" i="12"/>
  <c r="F32" i="12" s="1"/>
  <c r="G32" i="12" s="1"/>
  <c r="C36" i="12"/>
  <c r="F36" i="12" s="1"/>
  <c r="G36" i="12" s="1"/>
  <c r="C40" i="12"/>
  <c r="F40" i="12" s="1"/>
  <c r="G40" i="12" s="1"/>
  <c r="C44" i="12"/>
  <c r="F44" i="12" s="1"/>
  <c r="G44" i="12" s="1"/>
  <c r="C48" i="12"/>
  <c r="F48" i="12" s="1"/>
  <c r="G48" i="12" s="1"/>
  <c r="C52" i="12"/>
  <c r="F52" i="12" s="1"/>
  <c r="G52" i="12" s="1"/>
  <c r="C56" i="12"/>
  <c r="F56" i="12" s="1"/>
  <c r="G56" i="12" s="1"/>
</calcChain>
</file>

<file path=xl/sharedStrings.xml><?xml version="1.0" encoding="utf-8"?>
<sst xmlns="http://schemas.openxmlformats.org/spreadsheetml/2006/main" count="300" uniqueCount="174">
  <si>
    <t>Umgebung</t>
  </si>
  <si>
    <t>COP WP</t>
  </si>
  <si>
    <t>Q_ven</t>
  </si>
  <si>
    <t>Q_amb</t>
  </si>
  <si>
    <t>Q_met</t>
  </si>
  <si>
    <t>Q_total in kW</t>
  </si>
  <si>
    <t>P_WP in kW</t>
  </si>
  <si>
    <t>Vorkonditionierung Kabine [kWh]</t>
  </si>
  <si>
    <t>Vorkonditionierung Batterie</t>
  </si>
  <si>
    <t>Vorkonditionierung in kWh</t>
  </si>
  <si>
    <t>Segment</t>
  </si>
  <si>
    <t>Einstrahlungsfaktor</t>
  </si>
  <si>
    <t>Luftstrom [kg/s]</t>
  </si>
  <si>
    <t>Wärmekoeffizient[W/K]</t>
  </si>
  <si>
    <t>Batteriemasse [kg]</t>
  </si>
  <si>
    <t>Faktor Kond.</t>
  </si>
  <si>
    <t>klein</t>
  </si>
  <si>
    <t xml:space="preserve">mittel </t>
  </si>
  <si>
    <t>Groß</t>
  </si>
  <si>
    <t>LNF</t>
  </si>
  <si>
    <t>Wärmedurchgang 𝒌•𝑨 [𝑾𝑲]</t>
  </si>
  <si>
    <t>W/K</t>
  </si>
  <si>
    <t>cp_Luft</t>
  </si>
  <si>
    <t>KJ/Kg*K</t>
  </si>
  <si>
    <t>Komforttemperatur</t>
  </si>
  <si>
    <t>°C</t>
  </si>
  <si>
    <t>SOC</t>
  </si>
  <si>
    <t>Ladewahrscheinlichkeit_ungesteuert</t>
  </si>
  <si>
    <t>Plugin1</t>
  </si>
  <si>
    <t>Volle Flexibilität</t>
  </si>
  <si>
    <t>Plugin2</t>
  </si>
  <si>
    <t>Flexibilität teilweise auch, wenn nicht geladen wird</t>
  </si>
  <si>
    <t>Ladeleistung/kW</t>
  </si>
  <si>
    <t>Home</t>
  </si>
  <si>
    <t>Work</t>
  </si>
  <si>
    <t>Home+Work</t>
  </si>
  <si>
    <t>Public</t>
  </si>
  <si>
    <t>Ladetyp</t>
  </si>
  <si>
    <t>Typ1probs</t>
  </si>
  <si>
    <t>(¬k1 ∨ (k1∧¬k2)) ∧¬k3</t>
  </si>
  <si>
    <t>Kriterium 1</t>
  </si>
  <si>
    <t>Pendelfahrzeug</t>
  </si>
  <si>
    <t>Typ2probs</t>
  </si>
  <si>
    <t>(¬k1 ∨ (k1∧¬k2)) ∧ k3</t>
  </si>
  <si>
    <t>Kriterium 2</t>
  </si>
  <si>
    <t>Parkzeit Work/Gesamt &gt; 40 % Quantil (für die Pendelfahrzeuge)</t>
  </si>
  <si>
    <t>Typ3probs</t>
  </si>
  <si>
    <t>k1 ∧ k2 ∧ ¬k3</t>
  </si>
  <si>
    <t>Kriterium 3</t>
  </si>
  <si>
    <t>Parkzeit Sonstiges/Gesamt &gt; 30 % Quantil</t>
  </si>
  <si>
    <t>Typ4probs</t>
  </si>
  <si>
    <t>k1 ∧ k2 ∧ k3</t>
  </si>
  <si>
    <t>tatsächliche Ladeleistung</t>
  </si>
  <si>
    <t>Wirkungsgrad Laden</t>
  </si>
  <si>
    <t>beim DC laden stark temperaturabhängig</t>
  </si>
  <si>
    <t>Selbstentladung</t>
  </si>
  <si>
    <t>Anteile JFL &lt; 7000</t>
  </si>
  <si>
    <t>Anteile JFL &gt;= 7000 &lt; 14000</t>
  </si>
  <si>
    <t>Anteile JFL &gt;= 14000</t>
  </si>
  <si>
    <t>ZW Anteile JFL &lt; 7000</t>
  </si>
  <si>
    <t>ZW Anteile JFL &gt;= 7000 &lt; 14000</t>
  </si>
  <si>
    <t>ZW Anteile JFL &gt;= 14000</t>
  </si>
  <si>
    <t>Fahrzeug</t>
  </si>
  <si>
    <t>BEV-Klein</t>
  </si>
  <si>
    <t>BEV-Mittel</t>
  </si>
  <si>
    <t>BEV-Gross</t>
  </si>
  <si>
    <t>PHEV-Klein</t>
  </si>
  <si>
    <t>PHEV-Mittel</t>
  </si>
  <si>
    <t>PHEV-Gross</t>
  </si>
  <si>
    <t>BEV-Klein-ZW</t>
  </si>
  <si>
    <t>BEV-Mittel-ZW</t>
  </si>
  <si>
    <t>PHEV-Klein-ZW</t>
  </si>
  <si>
    <t>PHEV-Mittel-ZW</t>
  </si>
  <si>
    <t>BEV-LNF</t>
  </si>
  <si>
    <t>PHEV-LNF</t>
  </si>
  <si>
    <t>durch. elektrischer Verbrauch in kWh/km</t>
  </si>
  <si>
    <t>nutzbare Batteriekpazität in kWh</t>
  </si>
  <si>
    <t>Jahr</t>
  </si>
  <si>
    <t>Klein</t>
  </si>
  <si>
    <t>Mittel</t>
  </si>
  <si>
    <t>Anteile JFL &lt; 7000 ZW</t>
  </si>
  <si>
    <t>Summe</t>
  </si>
  <si>
    <t>Anteile JFL &gt;= 7000 &lt; 14000 ZW</t>
  </si>
  <si>
    <t>Anteile JFL &gt;= 14000 ZW</t>
  </si>
  <si>
    <t>Mobilitätsgruppe</t>
  </si>
  <si>
    <t>Mobilitätsgruppe_lang</t>
  </si>
  <si>
    <t>Mobilitätsgruppe_kurz</t>
  </si>
  <si>
    <t>DEU</t>
  </si>
  <si>
    <t>Individuell</t>
  </si>
  <si>
    <t>R_Gruppe</t>
  </si>
  <si>
    <t>R1HH1Eink1</t>
  </si>
  <si>
    <t>R1</t>
  </si>
  <si>
    <t>R1HH1Eink2</t>
  </si>
  <si>
    <t>R1HH1Eink3</t>
  </si>
  <si>
    <t>R1HH2Eink1</t>
  </si>
  <si>
    <t>R1HH2Eink2</t>
  </si>
  <si>
    <t>R1HH2Eink3</t>
  </si>
  <si>
    <t>R1HH3Eink1</t>
  </si>
  <si>
    <t>R1HH3Eink2</t>
  </si>
  <si>
    <t>R1HH3Eink3</t>
  </si>
  <si>
    <t>R2HH1Eink1</t>
  </si>
  <si>
    <t>R2</t>
  </si>
  <si>
    <t>R2HH1Eink2</t>
  </si>
  <si>
    <t>R2HH1Eink3</t>
  </si>
  <si>
    <t>R2HH2Eink1</t>
  </si>
  <si>
    <t>R2HH2Eink2</t>
  </si>
  <si>
    <t>R2HH2Eink3</t>
  </si>
  <si>
    <t>R2HH3Eink1</t>
  </si>
  <si>
    <t>R2HH3Eink2</t>
  </si>
  <si>
    <t>R2HH3Eink3</t>
  </si>
  <si>
    <t>R3HH1Eink1</t>
  </si>
  <si>
    <t>R3</t>
  </si>
  <si>
    <t>R3HH1Eink2</t>
  </si>
  <si>
    <t>R3HH1Eink3</t>
  </si>
  <si>
    <t>R3HH2Eink1</t>
  </si>
  <si>
    <t>R3HH2Eink2</t>
  </si>
  <si>
    <t>R3HH2Eink3</t>
  </si>
  <si>
    <t>R3HH3Eink1</t>
  </si>
  <si>
    <t>R3HH3Eink2</t>
  </si>
  <si>
    <t>R3HH3Eink3</t>
  </si>
  <si>
    <t>R4HH1Eink1</t>
  </si>
  <si>
    <t>R4</t>
  </si>
  <si>
    <t>R4HH1Eink2</t>
  </si>
  <si>
    <t>R4HH1Eink3</t>
  </si>
  <si>
    <t>R4HH2Eink1</t>
  </si>
  <si>
    <t>R4HH2Eink2</t>
  </si>
  <si>
    <t>R4HH2Eink3</t>
  </si>
  <si>
    <t>R4HH3Eink1</t>
  </si>
  <si>
    <t>R4HH3Eink2</t>
  </si>
  <si>
    <t>R4HH3Eink3</t>
  </si>
  <si>
    <t>R5HH1Eink1</t>
  </si>
  <si>
    <t>R5</t>
  </si>
  <si>
    <t>R5HH1Eink2</t>
  </si>
  <si>
    <t>R5HH1Eink3</t>
  </si>
  <si>
    <t>R5HH2Eink1</t>
  </si>
  <si>
    <t>R5HH2Eink2</t>
  </si>
  <si>
    <t>R5HH2Eink3</t>
  </si>
  <si>
    <t>R5HH3Eink1</t>
  </si>
  <si>
    <t>R5HH3Eink2</t>
  </si>
  <si>
    <t>R5HH3Eink3</t>
  </si>
  <si>
    <t>R6HH1Eink1</t>
  </si>
  <si>
    <t>R6</t>
  </si>
  <si>
    <t>R6HH1Eink2</t>
  </si>
  <si>
    <t>R6HH1Eink3</t>
  </si>
  <si>
    <t>R6HH2Eink1</t>
  </si>
  <si>
    <t>R6HH2Eink2</t>
  </si>
  <si>
    <t>R6HH2Eink3</t>
  </si>
  <si>
    <t>R6HH3Eink1</t>
  </si>
  <si>
    <t>R6HH3Eink2</t>
  </si>
  <si>
    <t>R6HH3Eink3</t>
  </si>
  <si>
    <t>R7HH1Eink1</t>
  </si>
  <si>
    <t>R7</t>
  </si>
  <si>
    <t>R7HH1Eink2</t>
  </si>
  <si>
    <t>R7HH1Eink3</t>
  </si>
  <si>
    <t>R7HH2Eink1</t>
  </si>
  <si>
    <t>R7HH2Eink2</t>
  </si>
  <si>
    <t>R7HH2Eink3</t>
  </si>
  <si>
    <t>R7HH3Eink1</t>
  </si>
  <si>
    <t>R7HH3Eink2</t>
  </si>
  <si>
    <t>R7HH3Eink3</t>
  </si>
  <si>
    <t>BEV</t>
  </si>
  <si>
    <t>PHEV</t>
  </si>
  <si>
    <t>Plugin1 (immer anstecken)</t>
  </si>
  <si>
    <t>Plugin2 (40 %)</t>
  </si>
  <si>
    <t>Plugin3 (40 %) unflexibel</t>
  </si>
  <si>
    <t>Abschlagsfaktor wg. Verteilnetz</t>
  </si>
  <si>
    <t>Zuhause Laden Pendler</t>
  </si>
  <si>
    <t>Zuhause Laden</t>
  </si>
  <si>
    <t>Arbeitgeber Laden (Pendler)</t>
  </si>
  <si>
    <t>öffentlich Laden (unflexibel)</t>
  </si>
  <si>
    <t xml:space="preserve">flexibel </t>
  </si>
  <si>
    <t>Kalenderjahr</t>
  </si>
  <si>
    <t>Wetterjahr</t>
  </si>
  <si>
    <t>Szenariojahr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</si>
</sst>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00"/>
    <numFmt numFmtId="166" formatCode="#,##0%"/>
    <numFmt numFmtId="167" formatCode="#,##0.0"/>
    <numFmt numFmtId="168" formatCode="#,##0.00%"/>
  </numFmts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Calibri"/>
      <family val="2"/>
    </font>
    <font>
      <sz val="8"/>
      <color rgb="FF808080"/>
      <name val="Tahoma"/>
      <family val="2"/>
    </font>
    <font>
      <sz val="11"/>
      <color theme="1"/>
      <name val="Calibri"/>
      <family val="2"/>
    </font>
    <font>
      <sz val="11"/>
      <color rgb="FF000000"/>
      <name val="Tahoma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164" fontId="2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3" fontId="3" fillId="0" borderId="3" xfId="0" applyNumberFormat="1" applyFont="1" applyBorder="1" applyAlignment="1">
      <alignment horizontal="right"/>
    </xf>
    <xf numFmtId="165" fontId="2" fillId="0" borderId="3" xfId="0" applyNumberFormat="1" applyFont="1" applyBorder="1" applyAlignment="1">
      <alignment horizontal="right"/>
    </xf>
    <xf numFmtId="164" fontId="3" fillId="0" borderId="3" xfId="0" applyNumberFormat="1" applyFont="1" applyBorder="1" applyAlignment="1">
      <alignment horizontal="right"/>
    </xf>
    <xf numFmtId="165" fontId="3" fillId="0" borderId="3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166" fontId="1" fillId="2" borderId="1" xfId="0" applyNumberFormat="1" applyFont="1" applyFill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166" fontId="3" fillId="0" borderId="3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1" fontId="4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66" fontId="4" fillId="0" borderId="3" xfId="0" applyNumberFormat="1" applyFont="1" applyBorder="1" applyAlignment="1">
      <alignment horizontal="right"/>
    </xf>
    <xf numFmtId="0" fontId="2" fillId="3" borderId="5" xfId="0" applyFont="1" applyFill="1" applyBorder="1" applyAlignment="1">
      <alignment horizontal="left"/>
    </xf>
    <xf numFmtId="166" fontId="2" fillId="0" borderId="6" xfId="0" applyNumberFormat="1" applyFont="1" applyBorder="1" applyAlignment="1">
      <alignment horizontal="right"/>
    </xf>
    <xf numFmtId="166" fontId="4" fillId="0" borderId="6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3" fontId="2" fillId="3" borderId="1" xfId="0" applyNumberFormat="1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left"/>
    </xf>
    <xf numFmtId="166" fontId="2" fillId="0" borderId="8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left"/>
    </xf>
    <xf numFmtId="164" fontId="1" fillId="2" borderId="2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4" fontId="1" fillId="2" borderId="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left"/>
    </xf>
    <xf numFmtId="164" fontId="2" fillId="0" borderId="10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left"/>
    </xf>
    <xf numFmtId="4" fontId="2" fillId="0" borderId="6" xfId="0" applyNumberFormat="1" applyFont="1" applyBorder="1" applyAlignment="1">
      <alignment horizontal="right"/>
    </xf>
    <xf numFmtId="4" fontId="2" fillId="0" borderId="11" xfId="0" applyNumberFormat="1" applyFont="1" applyBorder="1" applyAlignment="1">
      <alignment horizontal="right"/>
    </xf>
    <xf numFmtId="4" fontId="2" fillId="0" borderId="10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left"/>
    </xf>
    <xf numFmtId="4" fontId="3" fillId="0" borderId="3" xfId="0" applyNumberFormat="1" applyFont="1" applyBorder="1" applyAlignment="1">
      <alignment horizontal="left"/>
    </xf>
    <xf numFmtId="4" fontId="0" fillId="0" borderId="0" xfId="0" applyNumberFormat="1" applyAlignment="1">
      <alignment horizontal="left"/>
    </xf>
    <xf numFmtId="3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8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8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8" fontId="2" fillId="0" borderId="6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3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68" fontId="2" fillId="0" borderId="12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right"/>
    </xf>
    <xf numFmtId="168" fontId="0" fillId="0" borderId="0" xfId="0" applyNumberFormat="1" applyAlignment="1">
      <alignment horizontal="right"/>
    </xf>
    <xf numFmtId="0" fontId="1" fillId="3" borderId="1" xfId="0" applyFont="1" applyFill="1" applyBorder="1" applyAlignment="1">
      <alignment horizontal="left"/>
    </xf>
    <xf numFmtId="1" fontId="2" fillId="0" borderId="3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center"/>
    </xf>
    <xf numFmtId="4" fontId="2" fillId="3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"/>
  <sheetViews>
    <sheetView workbookViewId="0"/>
  </sheetViews>
  <sheetFormatPr defaultRowHeight="14.5" x14ac:dyDescent="0.35"/>
  <cols>
    <col min="1" max="1" width="13.54296875" style="29" bestFit="1" customWidth="1"/>
    <col min="2" max="2" width="13.54296875" style="83" bestFit="1" customWidth="1"/>
  </cols>
  <sheetData>
    <row r="1" spans="1:2" ht="18.75" customHeight="1" x14ac:dyDescent="0.35">
      <c r="A1" s="11" t="s">
        <v>171</v>
      </c>
      <c r="B1" s="82">
        <v>2012</v>
      </c>
    </row>
    <row r="2" spans="1:2" ht="18.75" customHeight="1" x14ac:dyDescent="0.35">
      <c r="A2" s="11" t="s">
        <v>172</v>
      </c>
      <c r="B2" s="82">
        <v>2012</v>
      </c>
    </row>
    <row r="3" spans="1:2" ht="18.75" customHeight="1" x14ac:dyDescent="0.35">
      <c r="A3" s="11" t="s">
        <v>173</v>
      </c>
      <c r="B3" s="82">
        <v>2030</v>
      </c>
    </row>
    <row r="4" spans="1:2" ht="18.75" customHeight="1" x14ac:dyDescent="0.35">
      <c r="A4" s="11"/>
      <c r="B4" s="8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W14"/>
  <sheetViews>
    <sheetView workbookViewId="0"/>
  </sheetViews>
  <sheetFormatPr defaultRowHeight="14.5" x14ac:dyDescent="0.35"/>
  <cols>
    <col min="1" max="1" width="21.54296875" style="29" bestFit="1" customWidth="1"/>
    <col min="2" max="8" width="13.54296875" style="23" bestFit="1" customWidth="1"/>
    <col min="9" max="17" width="13.54296875" style="23" hidden="1" bestFit="1" customWidth="1"/>
    <col min="18" max="23" width="13.54296875" style="23" bestFit="1" customWidth="1"/>
  </cols>
  <sheetData>
    <row r="1" spans="1:23" ht="18.75" customHeight="1" x14ac:dyDescent="0.35">
      <c r="A1" s="6"/>
      <c r="B1" s="7">
        <v>2024</v>
      </c>
      <c r="C1" s="7">
        <v>2025</v>
      </c>
      <c r="D1" s="7">
        <v>2026</v>
      </c>
      <c r="E1" s="7">
        <v>2027</v>
      </c>
      <c r="F1" s="7">
        <v>2028</v>
      </c>
      <c r="G1" s="7">
        <v>2029</v>
      </c>
      <c r="H1" s="7">
        <v>2030</v>
      </c>
      <c r="I1" s="7">
        <v>2031</v>
      </c>
      <c r="J1" s="7">
        <v>2032</v>
      </c>
      <c r="K1" s="7">
        <v>2033</v>
      </c>
      <c r="L1" s="7">
        <v>2034</v>
      </c>
      <c r="M1" s="7">
        <v>2035</v>
      </c>
      <c r="N1" s="7">
        <v>2036</v>
      </c>
      <c r="O1" s="7">
        <v>2037</v>
      </c>
      <c r="P1" s="7">
        <v>2038</v>
      </c>
      <c r="Q1" s="7">
        <v>2039</v>
      </c>
      <c r="R1" s="7">
        <v>2040</v>
      </c>
      <c r="S1" s="7">
        <v>2041</v>
      </c>
      <c r="T1" s="7">
        <v>2042</v>
      </c>
      <c r="U1" s="7">
        <v>2043</v>
      </c>
      <c r="V1" s="7">
        <v>2044</v>
      </c>
      <c r="W1" s="7">
        <v>2045</v>
      </c>
    </row>
    <row r="2" spans="1:23" ht="18.75" customHeight="1" x14ac:dyDescent="0.35">
      <c r="A2" s="11" t="s">
        <v>160</v>
      </c>
      <c r="B2" s="8">
        <v>0.8</v>
      </c>
      <c r="C2" s="8">
        <v>0.8</v>
      </c>
      <c r="D2" s="8">
        <v>0.8</v>
      </c>
      <c r="E2" s="8">
        <v>0.8</v>
      </c>
      <c r="F2" s="8">
        <v>0.8</v>
      </c>
      <c r="G2" s="8">
        <v>0.8</v>
      </c>
      <c r="H2" s="8">
        <v>0.8</v>
      </c>
      <c r="I2" s="8">
        <v>0.8</v>
      </c>
      <c r="J2" s="8">
        <v>0.8</v>
      </c>
      <c r="K2" s="8">
        <v>0.8</v>
      </c>
      <c r="L2" s="8">
        <v>0.8</v>
      </c>
      <c r="M2" s="8">
        <v>0.8</v>
      </c>
      <c r="N2" s="8">
        <v>0.8</v>
      </c>
      <c r="O2" s="8">
        <v>0.8</v>
      </c>
      <c r="P2" s="8">
        <v>0.8</v>
      </c>
      <c r="Q2" s="8">
        <v>0.8</v>
      </c>
      <c r="R2" s="8">
        <v>0.8</v>
      </c>
      <c r="S2" s="8">
        <v>0.8</v>
      </c>
      <c r="T2" s="8">
        <v>0.8</v>
      </c>
      <c r="U2" s="8">
        <v>0.8</v>
      </c>
      <c r="V2" s="8">
        <v>0.8</v>
      </c>
      <c r="W2" s="8">
        <v>0.8</v>
      </c>
    </row>
    <row r="3" spans="1:23" ht="18.75" customHeight="1" x14ac:dyDescent="0.35">
      <c r="A3" s="39" t="s">
        <v>161</v>
      </c>
      <c r="B3" s="59">
        <f t="shared" ref="B3:W3" si="0">1-B2</f>
        <v>0.19999999999999996</v>
      </c>
      <c r="C3" s="59">
        <f t="shared" si="0"/>
        <v>0.19999999999999996</v>
      </c>
      <c r="D3" s="59">
        <f t="shared" si="0"/>
        <v>0.19999999999999996</v>
      </c>
      <c r="E3" s="59">
        <f t="shared" si="0"/>
        <v>0.19999999999999996</v>
      </c>
      <c r="F3" s="59">
        <f t="shared" si="0"/>
        <v>0.19999999999999996</v>
      </c>
      <c r="G3" s="59">
        <f t="shared" si="0"/>
        <v>0.19999999999999996</v>
      </c>
      <c r="H3" s="59">
        <f t="shared" si="0"/>
        <v>0.19999999999999996</v>
      </c>
      <c r="I3" s="59">
        <f t="shared" si="0"/>
        <v>0.19999999999999996</v>
      </c>
      <c r="J3" s="59">
        <f t="shared" si="0"/>
        <v>0.19999999999999996</v>
      </c>
      <c r="K3" s="59">
        <f t="shared" si="0"/>
        <v>0.19999999999999996</v>
      </c>
      <c r="L3" s="59">
        <f t="shared" si="0"/>
        <v>0.19999999999999996</v>
      </c>
      <c r="M3" s="59">
        <f t="shared" si="0"/>
        <v>0.19999999999999996</v>
      </c>
      <c r="N3" s="59">
        <f t="shared" si="0"/>
        <v>0.19999999999999996</v>
      </c>
      <c r="O3" s="59">
        <f t="shared" si="0"/>
        <v>0.19999999999999996</v>
      </c>
      <c r="P3" s="59">
        <f t="shared" si="0"/>
        <v>0.19999999999999996</v>
      </c>
      <c r="Q3" s="59">
        <f t="shared" si="0"/>
        <v>0.19999999999999996</v>
      </c>
      <c r="R3" s="59">
        <f t="shared" si="0"/>
        <v>0.19999999999999996</v>
      </c>
      <c r="S3" s="59">
        <f t="shared" si="0"/>
        <v>0.19999999999999996</v>
      </c>
      <c r="T3" s="59">
        <f t="shared" si="0"/>
        <v>0.19999999999999996</v>
      </c>
      <c r="U3" s="59">
        <f t="shared" si="0"/>
        <v>0.19999999999999996</v>
      </c>
      <c r="V3" s="59">
        <f t="shared" si="0"/>
        <v>0.19999999999999996</v>
      </c>
      <c r="W3" s="59">
        <f t="shared" si="0"/>
        <v>0.19999999999999996</v>
      </c>
    </row>
    <row r="4" spans="1:23" ht="18.75" customHeight="1" x14ac:dyDescent="0.35">
      <c r="A4" s="11" t="s">
        <v>162</v>
      </c>
      <c r="B4" s="8">
        <v>0.2</v>
      </c>
      <c r="C4" s="8">
        <v>0.5</v>
      </c>
      <c r="D4" s="8">
        <v>0.5</v>
      </c>
      <c r="E4" s="8">
        <v>0.5</v>
      </c>
      <c r="F4" s="8">
        <v>0.5</v>
      </c>
      <c r="G4" s="8">
        <v>0.5</v>
      </c>
      <c r="H4" s="8">
        <v>0.5</v>
      </c>
      <c r="I4" s="8">
        <v>0.5</v>
      </c>
      <c r="J4" s="8">
        <v>0.5</v>
      </c>
      <c r="K4" s="8">
        <v>0.5</v>
      </c>
      <c r="L4" s="8">
        <v>0.5</v>
      </c>
      <c r="M4" s="8">
        <v>0.5</v>
      </c>
      <c r="N4" s="8">
        <v>0.5</v>
      </c>
      <c r="O4" s="8">
        <v>0.5</v>
      </c>
      <c r="P4" s="8">
        <v>0.5</v>
      </c>
      <c r="Q4" s="8">
        <v>0.5</v>
      </c>
      <c r="R4" s="8">
        <v>0.5</v>
      </c>
      <c r="S4" s="8">
        <v>0.5</v>
      </c>
      <c r="T4" s="8">
        <v>0.5</v>
      </c>
      <c r="U4" s="8">
        <v>0.5</v>
      </c>
      <c r="V4" s="8">
        <v>0.5</v>
      </c>
      <c r="W4" s="8">
        <v>0.8</v>
      </c>
    </row>
    <row r="5" spans="1:23" ht="18.75" customHeight="1" x14ac:dyDescent="0.35">
      <c r="A5" s="11" t="s">
        <v>163</v>
      </c>
      <c r="B5" s="8">
        <v>0.8</v>
      </c>
      <c r="C5" s="8">
        <v>0.3</v>
      </c>
      <c r="D5" s="8">
        <v>0.3</v>
      </c>
      <c r="E5" s="8">
        <v>0.3</v>
      </c>
      <c r="F5" s="8">
        <v>0.3</v>
      </c>
      <c r="G5" s="8">
        <v>0.3</v>
      </c>
      <c r="H5" s="8">
        <v>0.3</v>
      </c>
      <c r="I5" s="8">
        <v>0.3</v>
      </c>
      <c r="J5" s="8">
        <v>0.3</v>
      </c>
      <c r="K5" s="8">
        <v>0.3</v>
      </c>
      <c r="L5" s="8">
        <v>0.3</v>
      </c>
      <c r="M5" s="8">
        <v>0.3</v>
      </c>
      <c r="N5" s="8">
        <v>0.3</v>
      </c>
      <c r="O5" s="8">
        <v>0.3</v>
      </c>
      <c r="P5" s="8">
        <v>0.3</v>
      </c>
      <c r="Q5" s="8">
        <v>0.3</v>
      </c>
      <c r="R5" s="8">
        <v>0.3</v>
      </c>
      <c r="S5" s="8">
        <v>0.3</v>
      </c>
      <c r="T5" s="8">
        <v>0.3</v>
      </c>
      <c r="U5" s="8">
        <v>0.3</v>
      </c>
      <c r="V5" s="8">
        <v>0.3</v>
      </c>
      <c r="W5" s="8">
        <v>0.2</v>
      </c>
    </row>
    <row r="6" spans="1:23" ht="18.75" customHeight="1" x14ac:dyDescent="0.35">
      <c r="A6" s="11" t="s">
        <v>164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8.75" customHeight="1" x14ac:dyDescent="0.35">
      <c r="A7" s="14"/>
      <c r="B7" s="8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8"/>
    </row>
    <row r="8" spans="1:23" ht="18.75" customHeight="1" x14ac:dyDescent="0.35">
      <c r="A8" s="81" t="s">
        <v>165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18.75" customHeight="1" x14ac:dyDescent="0.35">
      <c r="A9" s="11" t="s">
        <v>166</v>
      </c>
      <c r="B9" s="13">
        <v>0.2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>
        <v>0.5</v>
      </c>
    </row>
    <row r="10" spans="1:23" ht="18.75" customHeight="1" x14ac:dyDescent="0.35">
      <c r="A10" s="11" t="s">
        <v>167</v>
      </c>
      <c r="B10" s="13">
        <v>0.2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>
        <v>0.5</v>
      </c>
    </row>
    <row r="11" spans="1:23" ht="18.75" customHeight="1" x14ac:dyDescent="0.35">
      <c r="A11" s="11" t="s">
        <v>168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8.75" customHeight="1" x14ac:dyDescent="0.35">
      <c r="A12" s="11" t="s">
        <v>169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8.75" customHeight="1" x14ac:dyDescent="0.35">
      <c r="A13" s="14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8.75" customHeight="1" x14ac:dyDescent="0.35">
      <c r="A14" s="11" t="s">
        <v>170</v>
      </c>
      <c r="B14" s="13">
        <v>30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6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7265625" style="49" bestFit="1" customWidth="1"/>
    <col min="2" max="2" width="13.26953125" style="29" bestFit="1" customWidth="1"/>
    <col min="3" max="3" width="14.7265625" style="49" bestFit="1" customWidth="1"/>
    <col min="4" max="5" width="16" style="80" bestFit="1" customWidth="1"/>
    <col min="6" max="6" width="16" style="25" bestFit="1" customWidth="1"/>
    <col min="7" max="9" width="13.7265625" style="29" bestFit="1" customWidth="1"/>
    <col min="10" max="12" width="7.7265625" style="29" bestFit="1" customWidth="1"/>
    <col min="13" max="22" width="9.7265625" style="29" bestFit="1" customWidth="1"/>
    <col min="23" max="23" width="11.453125" style="29" bestFit="1" customWidth="1"/>
    <col min="24" max="30" width="13.54296875" style="29" bestFit="1" customWidth="1"/>
  </cols>
  <sheetData>
    <row r="1" spans="1:30" ht="15" customHeight="1" x14ac:dyDescent="0.35">
      <c r="A1" s="65" t="s">
        <v>84</v>
      </c>
      <c r="B1" s="66" t="s">
        <v>85</v>
      </c>
      <c r="C1" s="65" t="s">
        <v>86</v>
      </c>
      <c r="D1" s="67" t="s">
        <v>87</v>
      </c>
      <c r="E1" s="67" t="s">
        <v>88</v>
      </c>
      <c r="F1" s="68" t="s">
        <v>89</v>
      </c>
      <c r="G1" s="16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15" customHeight="1" x14ac:dyDescent="0.35">
      <c r="A2" s="69">
        <v>1</v>
      </c>
      <c r="B2" s="70" t="s">
        <v>90</v>
      </c>
      <c r="C2" s="69">
        <v>111</v>
      </c>
      <c r="D2" s="71">
        <v>4.8805349151901462E-2</v>
      </c>
      <c r="E2" s="71">
        <v>4.8805349151901462E-2</v>
      </c>
      <c r="F2" s="70" t="s">
        <v>91</v>
      </c>
      <c r="G2" s="70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" customHeight="1" x14ac:dyDescent="0.35">
      <c r="A3" s="69">
        <v>2</v>
      </c>
      <c r="B3" s="70" t="s">
        <v>92</v>
      </c>
      <c r="C3" s="69">
        <v>112</v>
      </c>
      <c r="D3" s="71">
        <v>4.3788696181334637E-2</v>
      </c>
      <c r="E3" s="71">
        <v>4.3788696181334637E-2</v>
      </c>
      <c r="F3" s="70" t="s">
        <v>91</v>
      </c>
      <c r="G3" s="70"/>
      <c r="H3" s="69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" customHeight="1" x14ac:dyDescent="0.35">
      <c r="A4" s="69">
        <v>3</v>
      </c>
      <c r="B4" s="70" t="s">
        <v>93</v>
      </c>
      <c r="C4" s="69">
        <v>113</v>
      </c>
      <c r="D4" s="71">
        <v>4.5489634080005488E-3</v>
      </c>
      <c r="E4" s="71">
        <v>4.5489634080005488E-3</v>
      </c>
      <c r="F4" s="70" t="s">
        <v>91</v>
      </c>
      <c r="G4" s="70"/>
      <c r="H4" s="69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" customHeight="1" x14ac:dyDescent="0.35">
      <c r="A5" s="69">
        <v>4</v>
      </c>
      <c r="B5" s="70" t="s">
        <v>94</v>
      </c>
      <c r="C5" s="69">
        <v>121</v>
      </c>
      <c r="D5" s="71">
        <v>6.5849098062752418E-3</v>
      </c>
      <c r="E5" s="71">
        <v>6.5849098062752418E-3</v>
      </c>
      <c r="F5" s="70" t="s">
        <v>91</v>
      </c>
      <c r="G5" s="70"/>
      <c r="H5" s="69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15" customHeight="1" x14ac:dyDescent="0.35">
      <c r="A6" s="69">
        <v>5</v>
      </c>
      <c r="B6" s="70" t="s">
        <v>95</v>
      </c>
      <c r="C6" s="69">
        <v>122</v>
      </c>
      <c r="D6" s="71">
        <v>3.8023767364968493E-2</v>
      </c>
      <c r="E6" s="71">
        <v>3.8023767364968493E-2</v>
      </c>
      <c r="F6" s="70" t="s">
        <v>91</v>
      </c>
      <c r="G6" s="70"/>
      <c r="H6" s="69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4"/>
      <c r="AB6" s="14"/>
      <c r="AC6" s="14"/>
      <c r="AD6" s="14"/>
    </row>
    <row r="7" spans="1:30" ht="15" customHeight="1" x14ac:dyDescent="0.35">
      <c r="A7" s="69">
        <v>6</v>
      </c>
      <c r="B7" s="70" t="s">
        <v>96</v>
      </c>
      <c r="C7" s="69">
        <v>123</v>
      </c>
      <c r="D7" s="71">
        <v>1.9458105664630802E-2</v>
      </c>
      <c r="E7" s="71">
        <v>1.9458105664630802E-2</v>
      </c>
      <c r="F7" s="70" t="s">
        <v>91</v>
      </c>
      <c r="G7" s="70"/>
      <c r="H7" s="69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4"/>
      <c r="AB7" s="14"/>
      <c r="AC7" s="14"/>
      <c r="AD7" s="14"/>
    </row>
    <row r="8" spans="1:30" ht="15" customHeight="1" x14ac:dyDescent="0.35">
      <c r="A8" s="69">
        <v>7</v>
      </c>
      <c r="B8" s="70" t="s">
        <v>97</v>
      </c>
      <c r="C8" s="69">
        <v>131</v>
      </c>
      <c r="D8" s="71">
        <v>3.3432173329613801E-3</v>
      </c>
      <c r="E8" s="71">
        <v>3.3432173329613801E-3</v>
      </c>
      <c r="F8" s="70" t="s">
        <v>91</v>
      </c>
      <c r="G8" s="70"/>
      <c r="H8" s="69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4"/>
      <c r="AB8" s="14"/>
      <c r="AC8" s="14"/>
      <c r="AD8" s="14"/>
    </row>
    <row r="9" spans="1:30" ht="15" customHeight="1" x14ac:dyDescent="0.35">
      <c r="A9" s="69">
        <v>8</v>
      </c>
      <c r="B9" s="70" t="s">
        <v>98</v>
      </c>
      <c r="C9" s="69">
        <v>132</v>
      </c>
      <c r="D9" s="71">
        <v>1.311086191746645E-2</v>
      </c>
      <c r="E9" s="71">
        <v>1.311086191746645E-2</v>
      </c>
      <c r="F9" s="70" t="s">
        <v>91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4"/>
      <c r="AB9" s="14"/>
      <c r="AC9" s="14"/>
      <c r="AD9" s="14"/>
    </row>
    <row r="10" spans="1:30" ht="15" customHeight="1" x14ac:dyDescent="0.45">
      <c r="A10" s="72">
        <v>9</v>
      </c>
      <c r="B10" s="73" t="s">
        <v>99</v>
      </c>
      <c r="C10" s="72">
        <v>133</v>
      </c>
      <c r="D10" s="74">
        <v>1.946249709819459E-2</v>
      </c>
      <c r="E10" s="74">
        <v>1.946249709819459E-2</v>
      </c>
      <c r="F10" s="73" t="s">
        <v>91</v>
      </c>
      <c r="G10" s="16"/>
      <c r="H10" s="75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4"/>
      <c r="AB10" s="14"/>
      <c r="AC10" s="14"/>
      <c r="AD10" s="14"/>
    </row>
    <row r="11" spans="1:30" ht="15" customHeight="1" x14ac:dyDescent="0.35">
      <c r="A11" s="69">
        <v>10</v>
      </c>
      <c r="B11" s="70" t="s">
        <v>100</v>
      </c>
      <c r="C11" s="69">
        <v>211</v>
      </c>
      <c r="D11" s="71">
        <v>3.782873806650898E-2</v>
      </c>
      <c r="E11" s="71">
        <v>3.782873806650898E-2</v>
      </c>
      <c r="F11" s="70" t="s">
        <v>101</v>
      </c>
      <c r="G11" s="16"/>
      <c r="H11" s="14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4"/>
      <c r="AB11" s="14"/>
      <c r="AC11" s="14"/>
      <c r="AD11" s="14"/>
    </row>
    <row r="12" spans="1:30" ht="15" customHeight="1" x14ac:dyDescent="0.35">
      <c r="A12" s="69">
        <v>11</v>
      </c>
      <c r="B12" s="70" t="s">
        <v>102</v>
      </c>
      <c r="C12" s="69">
        <v>212</v>
      </c>
      <c r="D12" s="71">
        <v>3.012318056197753E-2</v>
      </c>
      <c r="E12" s="71">
        <v>3.012318056197753E-2</v>
      </c>
      <c r="F12" s="70" t="s">
        <v>101</v>
      </c>
      <c r="G12" s="16"/>
      <c r="H12" s="14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4"/>
      <c r="AB12" s="14"/>
      <c r="AC12" s="14"/>
      <c r="AD12" s="14"/>
    </row>
    <row r="13" spans="1:30" ht="15" customHeight="1" x14ac:dyDescent="0.35">
      <c r="A13" s="69">
        <v>12</v>
      </c>
      <c r="B13" s="70" t="s">
        <v>103</v>
      </c>
      <c r="C13" s="69">
        <v>213</v>
      </c>
      <c r="D13" s="71">
        <v>2.4294103606239781E-3</v>
      </c>
      <c r="E13" s="71">
        <v>2.4294103606239781E-3</v>
      </c>
      <c r="F13" s="70" t="s">
        <v>101</v>
      </c>
      <c r="G13" s="16"/>
      <c r="H13" s="14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4"/>
      <c r="AB13" s="14"/>
      <c r="AC13" s="14"/>
      <c r="AD13" s="14"/>
    </row>
    <row r="14" spans="1:30" ht="15" customHeight="1" x14ac:dyDescent="0.35">
      <c r="A14" s="69">
        <v>13</v>
      </c>
      <c r="B14" s="70" t="s">
        <v>104</v>
      </c>
      <c r="C14" s="69">
        <v>221</v>
      </c>
      <c r="D14" s="71">
        <v>6.6421247896690993E-3</v>
      </c>
      <c r="E14" s="71">
        <v>6.6421247896690993E-3</v>
      </c>
      <c r="F14" s="70" t="s">
        <v>101</v>
      </c>
      <c r="G14" s="16"/>
      <c r="H14" s="14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4"/>
      <c r="AB14" s="14"/>
      <c r="AC14" s="14"/>
      <c r="AD14" s="14"/>
    </row>
    <row r="15" spans="1:30" ht="15" customHeight="1" x14ac:dyDescent="0.35">
      <c r="A15" s="69">
        <v>14</v>
      </c>
      <c r="B15" s="70" t="s">
        <v>105</v>
      </c>
      <c r="C15" s="69">
        <v>222</v>
      </c>
      <c r="D15" s="71">
        <v>3.2221279559285693E-2</v>
      </c>
      <c r="E15" s="71">
        <v>3.2221279559285693E-2</v>
      </c>
      <c r="F15" s="70" t="s">
        <v>101</v>
      </c>
      <c r="G15" s="16"/>
      <c r="H15" s="14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4"/>
      <c r="AB15" s="14"/>
      <c r="AC15" s="14"/>
      <c r="AD15" s="14"/>
    </row>
    <row r="16" spans="1:30" ht="15" customHeight="1" x14ac:dyDescent="0.35">
      <c r="A16" s="69">
        <v>15</v>
      </c>
      <c r="B16" s="70" t="s">
        <v>106</v>
      </c>
      <c r="C16" s="69">
        <v>223</v>
      </c>
      <c r="D16" s="71">
        <v>1.594151757623314E-2</v>
      </c>
      <c r="E16" s="71">
        <v>1.594151757623314E-2</v>
      </c>
      <c r="F16" s="70" t="s">
        <v>101</v>
      </c>
      <c r="G16" s="16"/>
      <c r="H16" s="14"/>
      <c r="I16" s="14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4"/>
      <c r="AB16" s="14"/>
      <c r="AC16" s="14"/>
      <c r="AD16" s="14"/>
    </row>
    <row r="17" spans="1:30" ht="15" customHeight="1" x14ac:dyDescent="0.35">
      <c r="A17" s="69">
        <v>16</v>
      </c>
      <c r="B17" s="70" t="s">
        <v>107</v>
      </c>
      <c r="C17" s="69">
        <v>231</v>
      </c>
      <c r="D17" s="71">
        <v>2.4482497622075089E-3</v>
      </c>
      <c r="E17" s="71">
        <v>2.4482497622075089E-3</v>
      </c>
      <c r="F17" s="70" t="s">
        <v>101</v>
      </c>
      <c r="G17" s="16"/>
      <c r="H17" s="14"/>
      <c r="I17" s="14"/>
      <c r="J17" s="14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4"/>
      <c r="AB17" s="14"/>
      <c r="AC17" s="14"/>
      <c r="AD17" s="14"/>
    </row>
    <row r="18" spans="1:30" ht="15" customHeight="1" x14ac:dyDescent="0.35">
      <c r="A18" s="69">
        <v>17</v>
      </c>
      <c r="B18" s="70" t="s">
        <v>108</v>
      </c>
      <c r="C18" s="69">
        <v>232</v>
      </c>
      <c r="D18" s="71">
        <v>9.73851585117976E-3</v>
      </c>
      <c r="E18" s="71">
        <v>9.73851585117976E-3</v>
      </c>
      <c r="F18" s="70" t="s">
        <v>101</v>
      </c>
      <c r="G18" s="16"/>
      <c r="H18" s="14"/>
      <c r="I18" s="14"/>
      <c r="J18" s="14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4"/>
      <c r="AB18" s="14"/>
      <c r="AC18" s="14"/>
      <c r="AD18" s="14"/>
    </row>
    <row r="19" spans="1:30" ht="15" customHeight="1" x14ac:dyDescent="0.35">
      <c r="A19" s="69">
        <v>18</v>
      </c>
      <c r="B19" s="70" t="s">
        <v>109</v>
      </c>
      <c r="C19" s="69">
        <v>233</v>
      </c>
      <c r="D19" s="71">
        <v>1.3994849887044671E-2</v>
      </c>
      <c r="E19" s="71">
        <v>1.3994849887044671E-2</v>
      </c>
      <c r="F19" s="70" t="s">
        <v>101</v>
      </c>
      <c r="G19" s="16"/>
      <c r="H19" s="14"/>
      <c r="I19" s="14"/>
      <c r="J19" s="14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4"/>
      <c r="AB19" s="14"/>
      <c r="AC19" s="14"/>
      <c r="AD19" s="14"/>
    </row>
    <row r="20" spans="1:30" ht="15" customHeight="1" x14ac:dyDescent="0.35">
      <c r="A20" s="76">
        <v>19</v>
      </c>
      <c r="B20" s="77" t="s">
        <v>110</v>
      </c>
      <c r="C20" s="76">
        <v>311</v>
      </c>
      <c r="D20" s="78">
        <v>4.4493947094835493E-2</v>
      </c>
      <c r="E20" s="78">
        <v>0.22030981067125646</v>
      </c>
      <c r="F20" s="77" t="s">
        <v>111</v>
      </c>
      <c r="G20" s="16"/>
      <c r="H20" s="14"/>
      <c r="I20" s="14"/>
      <c r="J20" s="1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4"/>
      <c r="AB20" s="14"/>
      <c r="AC20" s="14"/>
      <c r="AD20" s="14"/>
    </row>
    <row r="21" spans="1:30" ht="15" customHeight="1" x14ac:dyDescent="0.35">
      <c r="A21" s="69">
        <v>20</v>
      </c>
      <c r="B21" s="70" t="s">
        <v>112</v>
      </c>
      <c r="C21" s="69">
        <v>312</v>
      </c>
      <c r="D21" s="71">
        <v>4.4443689118352218E-2</v>
      </c>
      <c r="E21" s="71">
        <v>0.11015490533562823</v>
      </c>
      <c r="F21" s="70" t="s">
        <v>111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4"/>
      <c r="AB21" s="14"/>
      <c r="AC21" s="14"/>
      <c r="AD21" s="14"/>
    </row>
    <row r="22" spans="1:30" ht="15" customHeight="1" x14ac:dyDescent="0.35">
      <c r="A22" s="69">
        <v>21</v>
      </c>
      <c r="B22" s="70" t="s">
        <v>113</v>
      </c>
      <c r="C22" s="69">
        <v>313</v>
      </c>
      <c r="D22" s="71">
        <v>3.4548151516439708E-3</v>
      </c>
      <c r="E22" s="71">
        <v>1.0327022375215147E-2</v>
      </c>
      <c r="F22" s="70" t="s">
        <v>111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4"/>
      <c r="AB22" s="14"/>
      <c r="AC22" s="14"/>
      <c r="AD22" s="14"/>
    </row>
    <row r="23" spans="1:30" ht="15" customHeight="1" x14ac:dyDescent="0.35">
      <c r="A23" s="69">
        <v>22</v>
      </c>
      <c r="B23" s="70" t="s">
        <v>114</v>
      </c>
      <c r="C23" s="69">
        <v>321</v>
      </c>
      <c r="D23" s="71">
        <v>8.6544118398979072E-3</v>
      </c>
      <c r="E23" s="71">
        <v>0.10843373493975904</v>
      </c>
      <c r="F23" s="70" t="s">
        <v>111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4"/>
      <c r="AB23" s="14"/>
      <c r="AC23" s="14"/>
      <c r="AD23" s="14"/>
    </row>
    <row r="24" spans="1:30" ht="15" customHeight="1" x14ac:dyDescent="0.35">
      <c r="A24" s="69">
        <v>23</v>
      </c>
      <c r="B24" s="70" t="s">
        <v>115</v>
      </c>
      <c r="C24" s="69">
        <v>322</v>
      </c>
      <c r="D24" s="71">
        <v>6.0627980074011788E-2</v>
      </c>
      <c r="E24" s="71">
        <v>0.31153184165232356</v>
      </c>
      <c r="F24" s="70" t="s">
        <v>111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4"/>
      <c r="AB24" s="14"/>
      <c r="AC24" s="14"/>
      <c r="AD24" s="14"/>
    </row>
    <row r="25" spans="1:30" ht="15" customHeight="1" x14ac:dyDescent="0.35">
      <c r="A25" s="69">
        <v>24</v>
      </c>
      <c r="B25" s="70" t="s">
        <v>116</v>
      </c>
      <c r="C25" s="69">
        <v>323</v>
      </c>
      <c r="D25" s="71">
        <v>3.3650960405654268E-2</v>
      </c>
      <c r="E25" s="71">
        <v>5.6798623063683308E-2</v>
      </c>
      <c r="F25" s="70" t="s">
        <v>111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4"/>
      <c r="AB25" s="14"/>
      <c r="AC25" s="14"/>
      <c r="AD25" s="14"/>
    </row>
    <row r="26" spans="1:30" ht="15" customHeight="1" x14ac:dyDescent="0.35">
      <c r="A26" s="69">
        <v>25</v>
      </c>
      <c r="B26" s="70" t="s">
        <v>117</v>
      </c>
      <c r="C26" s="69">
        <v>331</v>
      </c>
      <c r="D26" s="71">
        <v>3.4331313672644002E-3</v>
      </c>
      <c r="E26" s="71">
        <v>1.2048192771084338E-2</v>
      </c>
      <c r="F26" s="70" t="s">
        <v>111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4"/>
      <c r="AB26" s="14"/>
      <c r="AC26" s="14"/>
      <c r="AD26" s="14"/>
    </row>
    <row r="27" spans="1:30" ht="15" customHeight="1" x14ac:dyDescent="0.35">
      <c r="A27" s="69">
        <v>26</v>
      </c>
      <c r="B27" s="70" t="s">
        <v>118</v>
      </c>
      <c r="C27" s="69">
        <v>332</v>
      </c>
      <c r="D27" s="71">
        <v>1.7129427169744391E-2</v>
      </c>
      <c r="E27" s="71">
        <v>0.12736660929432014</v>
      </c>
      <c r="F27" s="70" t="s">
        <v>111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4"/>
    </row>
    <row r="28" spans="1:30" ht="15" customHeight="1" x14ac:dyDescent="0.35">
      <c r="A28" s="72">
        <v>27</v>
      </c>
      <c r="B28" s="73" t="s">
        <v>119</v>
      </c>
      <c r="C28" s="72">
        <v>333</v>
      </c>
      <c r="D28" s="74">
        <v>3.1343936118563683E-2</v>
      </c>
      <c r="E28" s="74">
        <v>4.3029259896729774E-2</v>
      </c>
      <c r="F28" s="73" t="s">
        <v>111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4"/>
    </row>
    <row r="29" spans="1:30" ht="15" customHeight="1" x14ac:dyDescent="0.35">
      <c r="A29" s="69">
        <v>28</v>
      </c>
      <c r="B29" s="70" t="s">
        <v>120</v>
      </c>
      <c r="C29" s="69">
        <v>411</v>
      </c>
      <c r="D29" s="71">
        <v>1.079754424442749E-2</v>
      </c>
      <c r="E29" s="71">
        <v>1.079754424442749E-2</v>
      </c>
      <c r="F29" s="70" t="s">
        <v>121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4"/>
    </row>
    <row r="30" spans="1:30" ht="15" customHeight="1" x14ac:dyDescent="0.35">
      <c r="A30" s="69">
        <v>29</v>
      </c>
      <c r="B30" s="70" t="s">
        <v>122</v>
      </c>
      <c r="C30" s="69">
        <v>412</v>
      </c>
      <c r="D30" s="71">
        <v>8.3204882049307694E-3</v>
      </c>
      <c r="E30" s="71">
        <v>8.3204882049307694E-3</v>
      </c>
      <c r="F30" s="70" t="s">
        <v>121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4"/>
    </row>
    <row r="31" spans="1:30" ht="15" customHeight="1" x14ac:dyDescent="0.35">
      <c r="A31" s="69">
        <v>30</v>
      </c>
      <c r="B31" s="70" t="s">
        <v>123</v>
      </c>
      <c r="C31" s="69">
        <v>413</v>
      </c>
      <c r="D31" s="71">
        <v>5.3064872400297898E-4</v>
      </c>
      <c r="E31" s="71">
        <v>5.3064872400297898E-4</v>
      </c>
      <c r="F31" s="70" t="s">
        <v>121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4"/>
    </row>
    <row r="32" spans="1:30" ht="15" customHeight="1" x14ac:dyDescent="0.35">
      <c r="A32" s="69">
        <v>31</v>
      </c>
      <c r="B32" s="70" t="s">
        <v>124</v>
      </c>
      <c r="C32" s="69">
        <v>421</v>
      </c>
      <c r="D32" s="71">
        <v>2.8087614424427238E-3</v>
      </c>
      <c r="E32" s="71">
        <v>2.8087614424427238E-3</v>
      </c>
      <c r="F32" s="70" t="s">
        <v>121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4"/>
    </row>
    <row r="33" spans="1:30" ht="15" customHeight="1" x14ac:dyDescent="0.35">
      <c r="A33" s="69">
        <v>32</v>
      </c>
      <c r="B33" s="70" t="s">
        <v>125</v>
      </c>
      <c r="C33" s="69">
        <v>422</v>
      </c>
      <c r="D33" s="71">
        <v>1.6169543197781629E-2</v>
      </c>
      <c r="E33" s="71">
        <v>1.6169543197781629E-2</v>
      </c>
      <c r="F33" s="70" t="s">
        <v>121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4"/>
    </row>
    <row r="34" spans="1:30" ht="15" customHeight="1" x14ac:dyDescent="0.35">
      <c r="A34" s="69">
        <v>33</v>
      </c>
      <c r="B34" s="70" t="s">
        <v>126</v>
      </c>
      <c r="C34" s="69">
        <v>423</v>
      </c>
      <c r="D34" s="71">
        <v>8.2687844486386882E-3</v>
      </c>
      <c r="E34" s="71">
        <v>8.2687844486386882E-3</v>
      </c>
      <c r="F34" s="70" t="s">
        <v>121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4"/>
    </row>
    <row r="35" spans="1:30" ht="15" customHeight="1" x14ac:dyDescent="0.35">
      <c r="A35" s="69">
        <v>34</v>
      </c>
      <c r="B35" s="70" t="s">
        <v>127</v>
      </c>
      <c r="C35" s="69">
        <v>431</v>
      </c>
      <c r="D35" s="71">
        <v>9.6913774600379304E-4</v>
      </c>
      <c r="E35" s="71">
        <v>9.6913774600379304E-4</v>
      </c>
      <c r="F35" s="70" t="s">
        <v>121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4"/>
    </row>
    <row r="36" spans="1:30" ht="15" customHeight="1" x14ac:dyDescent="0.35">
      <c r="A36" s="69">
        <v>35</v>
      </c>
      <c r="B36" s="70" t="s">
        <v>128</v>
      </c>
      <c r="C36" s="69">
        <v>432</v>
      </c>
      <c r="D36" s="71">
        <v>4.5440553129625794E-3</v>
      </c>
      <c r="E36" s="71">
        <v>4.5440553129625794E-3</v>
      </c>
      <c r="F36" s="70" t="s">
        <v>121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4"/>
    </row>
    <row r="37" spans="1:30" ht="15" customHeight="1" x14ac:dyDescent="0.35">
      <c r="A37" s="69">
        <v>36</v>
      </c>
      <c r="B37" s="70" t="s">
        <v>129</v>
      </c>
      <c r="C37" s="69">
        <v>433</v>
      </c>
      <c r="D37" s="71">
        <v>7.8474316135532449E-3</v>
      </c>
      <c r="E37" s="71">
        <v>7.8474316135532449E-3</v>
      </c>
      <c r="F37" s="70" t="s">
        <v>121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4"/>
    </row>
    <row r="38" spans="1:30" ht="15" customHeight="1" x14ac:dyDescent="0.35">
      <c r="A38" s="76">
        <v>37</v>
      </c>
      <c r="B38" s="77" t="s">
        <v>130</v>
      </c>
      <c r="C38" s="76">
        <v>511</v>
      </c>
      <c r="D38" s="78">
        <v>1.6604147201873691E-2</v>
      </c>
      <c r="E38" s="78">
        <v>1.6604147201873691E-2</v>
      </c>
      <c r="F38" s="77" t="s">
        <v>131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4"/>
    </row>
    <row r="39" spans="1:30" ht="15" customHeight="1" x14ac:dyDescent="0.35">
      <c r="A39" s="69">
        <v>38</v>
      </c>
      <c r="B39" s="70" t="s">
        <v>132</v>
      </c>
      <c r="C39" s="69">
        <v>512</v>
      </c>
      <c r="D39" s="71">
        <v>1.1341274543179521E-2</v>
      </c>
      <c r="E39" s="71">
        <v>1.1341274543179521E-2</v>
      </c>
      <c r="F39" s="70" t="s">
        <v>131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4"/>
    </row>
    <row r="40" spans="1:30" ht="15" customHeight="1" x14ac:dyDescent="0.35">
      <c r="A40" s="69">
        <v>39</v>
      </c>
      <c r="B40" s="70" t="s">
        <v>133</v>
      </c>
      <c r="C40" s="69">
        <v>513</v>
      </c>
      <c r="D40" s="71">
        <v>6.8677414643395331E-4</v>
      </c>
      <c r="E40" s="71">
        <v>6.8677414643395331E-4</v>
      </c>
      <c r="F40" s="70" t="s">
        <v>131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4"/>
    </row>
    <row r="41" spans="1:30" ht="15" customHeight="1" x14ac:dyDescent="0.35">
      <c r="A41" s="69">
        <v>40</v>
      </c>
      <c r="B41" s="70" t="s">
        <v>134</v>
      </c>
      <c r="C41" s="69">
        <v>521</v>
      </c>
      <c r="D41" s="71">
        <v>3.1396487580248999E-3</v>
      </c>
      <c r="E41" s="71">
        <v>3.1396487580248999E-3</v>
      </c>
      <c r="F41" s="70" t="s">
        <v>131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4"/>
    </row>
    <row r="42" spans="1:30" ht="15" customHeight="1" x14ac:dyDescent="0.35">
      <c r="A42" s="69">
        <v>41</v>
      </c>
      <c r="B42" s="70" t="s">
        <v>135</v>
      </c>
      <c r="C42" s="69">
        <v>522</v>
      </c>
      <c r="D42" s="71">
        <v>1.5495508491365899E-2</v>
      </c>
      <c r="E42" s="71">
        <v>1.5495508491365899E-2</v>
      </c>
      <c r="F42" s="70" t="s">
        <v>131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4"/>
    </row>
    <row r="43" spans="1:30" ht="15" customHeight="1" x14ac:dyDescent="0.35">
      <c r="A43" s="69">
        <v>42</v>
      </c>
      <c r="B43" s="70" t="s">
        <v>136</v>
      </c>
      <c r="C43" s="69">
        <v>523</v>
      </c>
      <c r="D43" s="71">
        <v>5.6508335199177834E-3</v>
      </c>
      <c r="E43" s="71">
        <v>5.6508335199177834E-3</v>
      </c>
      <c r="F43" s="70" t="s">
        <v>131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4"/>
    </row>
    <row r="44" spans="1:30" ht="15" customHeight="1" x14ac:dyDescent="0.35">
      <c r="A44" s="69">
        <v>43</v>
      </c>
      <c r="B44" s="70" t="s">
        <v>137</v>
      </c>
      <c r="C44" s="69">
        <v>531</v>
      </c>
      <c r="D44" s="71">
        <v>8.1170773994485967E-4</v>
      </c>
      <c r="E44" s="71">
        <v>8.1170773994485967E-4</v>
      </c>
      <c r="F44" s="70" t="s">
        <v>131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4"/>
    </row>
    <row r="45" spans="1:30" ht="15" customHeight="1" x14ac:dyDescent="0.35">
      <c r="A45" s="69">
        <v>44</v>
      </c>
      <c r="B45" s="70" t="s">
        <v>138</v>
      </c>
      <c r="C45" s="69">
        <v>532</v>
      </c>
      <c r="D45" s="71">
        <v>4.0385732355557088E-3</v>
      </c>
      <c r="E45" s="71">
        <v>4.0385732355557088E-3</v>
      </c>
      <c r="F45" s="70" t="s">
        <v>131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4"/>
    </row>
    <row r="46" spans="1:30" ht="15" customHeight="1" x14ac:dyDescent="0.35">
      <c r="A46" s="72">
        <v>45</v>
      </c>
      <c r="B46" s="73" t="s">
        <v>139</v>
      </c>
      <c r="C46" s="72">
        <v>533</v>
      </c>
      <c r="D46" s="74">
        <v>5.6969746388466991E-3</v>
      </c>
      <c r="E46" s="74">
        <v>5.6969746388466991E-3</v>
      </c>
      <c r="F46" s="73" t="s">
        <v>131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4"/>
    </row>
    <row r="47" spans="1:30" ht="15" customHeight="1" x14ac:dyDescent="0.35">
      <c r="A47" s="69">
        <v>46</v>
      </c>
      <c r="B47" s="70" t="s">
        <v>140</v>
      </c>
      <c r="C47" s="69">
        <v>611</v>
      </c>
      <c r="D47" s="71">
        <v>2.9264202812523121E-2</v>
      </c>
      <c r="E47" s="71">
        <v>2.9264202812523121E-2</v>
      </c>
      <c r="F47" s="70" t="s">
        <v>141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4"/>
    </row>
    <row r="48" spans="1:30" ht="15" customHeight="1" x14ac:dyDescent="0.35">
      <c r="A48" s="69">
        <v>47</v>
      </c>
      <c r="B48" s="70" t="s">
        <v>142</v>
      </c>
      <c r="C48" s="69">
        <v>612</v>
      </c>
      <c r="D48" s="71">
        <v>2.0240504805435079E-2</v>
      </c>
      <c r="E48" s="71">
        <v>2.0240504805435079E-2</v>
      </c>
      <c r="F48" s="70" t="s">
        <v>141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4"/>
    </row>
    <row r="49" spans="1:30" ht="15" customHeight="1" x14ac:dyDescent="0.35">
      <c r="A49" s="69">
        <v>48</v>
      </c>
      <c r="B49" s="70" t="s">
        <v>143</v>
      </c>
      <c r="C49" s="69">
        <v>613</v>
      </c>
      <c r="D49" s="71">
        <v>1.04891315842421E-3</v>
      </c>
      <c r="E49" s="71">
        <v>1.04891315842421E-3</v>
      </c>
      <c r="F49" s="70" t="s">
        <v>141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4"/>
    </row>
    <row r="50" spans="1:30" ht="15" customHeight="1" x14ac:dyDescent="0.35">
      <c r="A50" s="69">
        <v>49</v>
      </c>
      <c r="B50" s="70" t="s">
        <v>144</v>
      </c>
      <c r="C50" s="69">
        <v>621</v>
      </c>
      <c r="D50" s="71">
        <v>7.26611188073077E-3</v>
      </c>
      <c r="E50" s="71">
        <v>7.26611188073077E-3</v>
      </c>
      <c r="F50" s="70" t="s">
        <v>141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4"/>
    </row>
    <row r="51" spans="1:30" ht="15" customHeight="1" x14ac:dyDescent="0.35">
      <c r="A51" s="69">
        <v>50</v>
      </c>
      <c r="B51" s="70" t="s">
        <v>145</v>
      </c>
      <c r="C51" s="69">
        <v>622</v>
      </c>
      <c r="D51" s="71">
        <v>3.4203844256588678E-2</v>
      </c>
      <c r="E51" s="71">
        <v>3.4203844256588678E-2</v>
      </c>
      <c r="F51" s="70" t="s">
        <v>141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4"/>
    </row>
    <row r="52" spans="1:30" ht="15" customHeight="1" x14ac:dyDescent="0.35">
      <c r="A52" s="69">
        <v>51</v>
      </c>
      <c r="B52" s="70" t="s">
        <v>146</v>
      </c>
      <c r="C52" s="69">
        <v>623</v>
      </c>
      <c r="D52" s="71">
        <v>1.55528059476846E-2</v>
      </c>
      <c r="E52" s="71">
        <v>1.55528059476846E-2</v>
      </c>
      <c r="F52" s="70" t="s">
        <v>141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4"/>
    </row>
    <row r="53" spans="1:30" ht="15" customHeight="1" x14ac:dyDescent="0.35">
      <c r="A53" s="69">
        <v>52</v>
      </c>
      <c r="B53" s="70" t="s">
        <v>147</v>
      </c>
      <c r="C53" s="69">
        <v>631</v>
      </c>
      <c r="D53" s="71">
        <v>2.0367556585878101E-3</v>
      </c>
      <c r="E53" s="71">
        <v>2.0367556585878101E-3</v>
      </c>
      <c r="F53" s="70" t="s">
        <v>141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4"/>
    </row>
    <row r="54" spans="1:30" ht="15" customHeight="1" x14ac:dyDescent="0.35">
      <c r="A54" s="69">
        <v>53</v>
      </c>
      <c r="B54" s="70" t="s">
        <v>148</v>
      </c>
      <c r="C54" s="69">
        <v>632</v>
      </c>
      <c r="D54" s="71">
        <v>1.0684393095572391E-2</v>
      </c>
      <c r="E54" s="71">
        <v>1.0684393095572391E-2</v>
      </c>
      <c r="F54" s="70" t="s">
        <v>141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4"/>
    </row>
    <row r="55" spans="1:30" ht="15" customHeight="1" x14ac:dyDescent="0.35">
      <c r="A55" s="69">
        <v>54</v>
      </c>
      <c r="B55" s="70" t="s">
        <v>149</v>
      </c>
      <c r="C55" s="69">
        <v>633</v>
      </c>
      <c r="D55" s="71">
        <v>1.407609284084262E-2</v>
      </c>
      <c r="E55" s="71">
        <v>1.407609284084262E-2</v>
      </c>
      <c r="F55" s="70" t="s">
        <v>141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4"/>
    </row>
    <row r="56" spans="1:30" ht="15" customHeight="1" x14ac:dyDescent="0.35">
      <c r="A56" s="76">
        <v>55</v>
      </c>
      <c r="B56" s="77" t="s">
        <v>150</v>
      </c>
      <c r="C56" s="76">
        <v>711</v>
      </c>
      <c r="D56" s="78">
        <v>2.7309990553487928E-2</v>
      </c>
      <c r="E56" s="78">
        <v>2.7309990553487928E-2</v>
      </c>
      <c r="F56" s="77" t="s">
        <v>151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4"/>
    </row>
    <row r="57" spans="1:30" ht="15" customHeight="1" x14ac:dyDescent="0.35">
      <c r="A57" s="69">
        <v>56</v>
      </c>
      <c r="B57" s="70" t="s">
        <v>152</v>
      </c>
      <c r="C57" s="69">
        <v>712</v>
      </c>
      <c r="D57" s="71">
        <v>1.9054195974124812E-2</v>
      </c>
      <c r="E57" s="71">
        <v>1.9054195974124812E-2</v>
      </c>
      <c r="F57" s="70" t="s">
        <v>151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4"/>
    </row>
    <row r="58" spans="1:30" ht="15" customHeight="1" x14ac:dyDescent="0.35">
      <c r="A58" s="69">
        <v>57</v>
      </c>
      <c r="B58" s="70" t="s">
        <v>153</v>
      </c>
      <c r="C58" s="69">
        <v>713</v>
      </c>
      <c r="D58" s="71">
        <v>1.0111357271959541E-3</v>
      </c>
      <c r="E58" s="71">
        <v>1.0111357271959541E-3</v>
      </c>
      <c r="F58" s="70" t="s">
        <v>151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4"/>
    </row>
    <row r="59" spans="1:30" ht="15" customHeight="1" x14ac:dyDescent="0.35">
      <c r="A59" s="69">
        <v>58</v>
      </c>
      <c r="B59" s="70" t="s">
        <v>154</v>
      </c>
      <c r="C59" s="69">
        <v>721</v>
      </c>
      <c r="D59" s="71">
        <v>9.4850117284439074E-3</v>
      </c>
      <c r="E59" s="71">
        <v>9.4850117284439074E-3</v>
      </c>
      <c r="F59" s="70" t="s">
        <v>151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4"/>
    </row>
    <row r="60" spans="1:30" ht="15" customHeight="1" x14ac:dyDescent="0.35">
      <c r="A60" s="69">
        <v>59</v>
      </c>
      <c r="B60" s="70" t="s">
        <v>155</v>
      </c>
      <c r="C60" s="69">
        <v>722</v>
      </c>
      <c r="D60" s="71">
        <v>3.9830105818494492E-2</v>
      </c>
      <c r="E60" s="71">
        <v>3.9830105818494492E-2</v>
      </c>
      <c r="F60" s="70" t="s">
        <v>151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4"/>
    </row>
    <row r="61" spans="1:30" ht="15" customHeight="1" x14ac:dyDescent="0.35">
      <c r="A61" s="69">
        <v>60</v>
      </c>
      <c r="B61" s="70" t="s">
        <v>156</v>
      </c>
      <c r="C61" s="69">
        <v>723</v>
      </c>
      <c r="D61" s="71">
        <v>1.7479108784447441E-2</v>
      </c>
      <c r="E61" s="71">
        <v>1.7479108784447441E-2</v>
      </c>
      <c r="F61" s="70" t="s">
        <v>151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4"/>
    </row>
    <row r="62" spans="1:30" ht="15" customHeight="1" x14ac:dyDescent="0.35">
      <c r="A62" s="69">
        <v>61</v>
      </c>
      <c r="B62" s="70" t="s">
        <v>157</v>
      </c>
      <c r="C62" s="69">
        <v>731</v>
      </c>
      <c r="D62" s="71">
        <v>2.1741702321553232E-3</v>
      </c>
      <c r="E62" s="71">
        <v>2.1741702321553232E-3</v>
      </c>
      <c r="F62" s="70" t="s">
        <v>151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4"/>
    </row>
    <row r="63" spans="1:30" ht="15" customHeight="1" x14ac:dyDescent="0.35">
      <c r="A63" s="69">
        <v>62</v>
      </c>
      <c r="B63" s="70" t="s">
        <v>158</v>
      </c>
      <c r="C63" s="69">
        <v>732</v>
      </c>
      <c r="D63" s="71">
        <v>1.293355548042638E-2</v>
      </c>
      <c r="E63" s="71">
        <v>1.293355548042638E-2</v>
      </c>
      <c r="F63" s="70" t="s">
        <v>151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4"/>
    </row>
    <row r="64" spans="1:30" ht="15" customHeight="1" x14ac:dyDescent="0.35">
      <c r="A64" s="69">
        <v>63</v>
      </c>
      <c r="B64" s="70" t="s">
        <v>159</v>
      </c>
      <c r="C64" s="69">
        <v>733</v>
      </c>
      <c r="D64" s="71">
        <v>1.6900731354523111E-2</v>
      </c>
      <c r="E64" s="71">
        <v>1.6900731354523111E-2</v>
      </c>
      <c r="F64" s="70" t="s">
        <v>151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4"/>
    </row>
    <row r="65" spans="1:30" ht="15" customHeight="1" x14ac:dyDescent="0.35">
      <c r="A65" s="17"/>
      <c r="B65" s="16"/>
      <c r="C65" s="17"/>
      <c r="D65" s="71">
        <f>SUM(D2:D64)</f>
        <v>1.0000000000000075</v>
      </c>
      <c r="E65" s="71">
        <f>SUM(E2:E64)</f>
        <v>1.7527677016600389</v>
      </c>
      <c r="F65" s="71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4"/>
    </row>
    <row r="66" spans="1:30" ht="15" customHeight="1" x14ac:dyDescent="0.35">
      <c r="A66" s="17"/>
      <c r="B66" s="16"/>
      <c r="C66" s="17"/>
      <c r="D66" s="79"/>
      <c r="E66" s="79"/>
      <c r="F66" s="5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G33"/>
  <sheetViews>
    <sheetView workbookViewId="0"/>
  </sheetViews>
  <sheetFormatPr defaultRowHeight="14.5" x14ac:dyDescent="0.35"/>
  <cols>
    <col min="1" max="1" width="29" style="29" bestFit="1" customWidth="1"/>
    <col min="2" max="2" width="9.453125" style="64" bestFit="1" customWidth="1"/>
    <col min="3" max="3" width="9.26953125" style="64" bestFit="1" customWidth="1"/>
    <col min="4" max="4" width="8.7265625" style="64" bestFit="1" customWidth="1"/>
    <col min="5" max="5" width="8.453125" style="64" bestFit="1" customWidth="1"/>
    <col min="6" max="6" width="11.81640625" style="64" bestFit="1" customWidth="1"/>
    <col min="7" max="7" width="12.7265625" style="64" bestFit="1" customWidth="1"/>
    <col min="8" max="8" width="9.7265625" style="64" bestFit="1" customWidth="1"/>
    <col min="9" max="9" width="10.54296875" style="64" bestFit="1" customWidth="1"/>
    <col min="10" max="10" width="9.7265625" style="64" bestFit="1" customWidth="1"/>
    <col min="11" max="11" width="8.453125" style="64" bestFit="1" customWidth="1"/>
    <col min="12" max="12" width="13" style="64" bestFit="1" customWidth="1"/>
    <col min="13" max="13" width="13.7265625" style="64" bestFit="1" customWidth="1"/>
    <col min="14" max="14" width="13.7265625" style="29" bestFit="1" customWidth="1"/>
    <col min="15" max="15" width="9" style="29" bestFit="1" customWidth="1"/>
    <col min="16" max="16" width="10.1796875" style="29" bestFit="1" customWidth="1"/>
    <col min="17" max="18" width="10.1796875" style="49" bestFit="1" customWidth="1"/>
    <col min="19" max="21" width="10.1796875" style="29" bestFit="1" customWidth="1"/>
    <col min="22" max="25" width="9.7265625" style="29" bestFit="1" customWidth="1"/>
    <col min="26" max="26" width="11.453125" style="29" bestFit="1" customWidth="1"/>
    <col min="27" max="33" width="13.54296875" style="29" bestFit="1" customWidth="1"/>
  </cols>
  <sheetData>
    <row r="1" spans="1:33" ht="15" customHeight="1" x14ac:dyDescent="0.35">
      <c r="A1" s="6" t="s">
        <v>62</v>
      </c>
      <c r="B1" s="1" t="s">
        <v>63</v>
      </c>
      <c r="C1" s="1" t="s">
        <v>64</v>
      </c>
      <c r="D1" s="1" t="s">
        <v>65</v>
      </c>
      <c r="E1" s="1" t="s">
        <v>73</v>
      </c>
      <c r="F1" s="1" t="s">
        <v>69</v>
      </c>
      <c r="G1" s="54" t="s">
        <v>70</v>
      </c>
      <c r="H1" s="1" t="s">
        <v>66</v>
      </c>
      <c r="I1" s="1" t="s">
        <v>67</v>
      </c>
      <c r="J1" s="1" t="s">
        <v>68</v>
      </c>
      <c r="K1" s="1" t="s">
        <v>74</v>
      </c>
      <c r="L1" s="1" t="s">
        <v>71</v>
      </c>
      <c r="M1" s="1" t="s">
        <v>72</v>
      </c>
      <c r="N1" s="55"/>
      <c r="O1" s="55"/>
      <c r="P1" s="55"/>
      <c r="Q1" s="56"/>
      <c r="R1" s="56"/>
      <c r="S1" s="55"/>
      <c r="T1" s="55"/>
      <c r="U1" s="55"/>
      <c r="V1" s="55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15" customHeight="1" x14ac:dyDescent="0.35">
      <c r="A2" s="11" t="s">
        <v>75</v>
      </c>
      <c r="B2" s="12">
        <v>0.15</v>
      </c>
      <c r="C2" s="12">
        <v>0.16</v>
      </c>
      <c r="D2" s="12">
        <v>0.18</v>
      </c>
      <c r="E2" s="12">
        <v>0.2</v>
      </c>
      <c r="F2" s="12">
        <v>0.15</v>
      </c>
      <c r="G2" s="57">
        <v>0.16</v>
      </c>
      <c r="H2" s="12">
        <v>0.15</v>
      </c>
      <c r="I2" s="12">
        <v>0.16</v>
      </c>
      <c r="J2" s="12">
        <v>0.18</v>
      </c>
      <c r="K2" s="12">
        <v>0.2</v>
      </c>
      <c r="L2" s="12">
        <v>0.15</v>
      </c>
      <c r="M2" s="12">
        <v>0.16</v>
      </c>
      <c r="N2" s="21"/>
      <c r="O2" s="14"/>
      <c r="P2" s="14"/>
      <c r="Q2" s="58"/>
      <c r="R2" s="58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15" customHeight="1" x14ac:dyDescent="0.35">
      <c r="A3" s="39" t="s">
        <v>76</v>
      </c>
      <c r="B3" s="59">
        <v>35</v>
      </c>
      <c r="C3" s="59">
        <v>60</v>
      </c>
      <c r="D3" s="59">
        <v>80</v>
      </c>
      <c r="E3" s="59">
        <v>45</v>
      </c>
      <c r="F3" s="59">
        <v>25</v>
      </c>
      <c r="G3" s="60">
        <v>50</v>
      </c>
      <c r="H3" s="59">
        <v>8.8000000000000007</v>
      </c>
      <c r="I3" s="59">
        <v>11.5</v>
      </c>
      <c r="J3" s="59">
        <v>13</v>
      </c>
      <c r="K3" s="59">
        <v>13.4</v>
      </c>
      <c r="L3" s="59">
        <v>8.8000000000000007</v>
      </c>
      <c r="M3" s="59">
        <v>11.5</v>
      </c>
      <c r="N3" s="21"/>
      <c r="O3" s="14"/>
      <c r="P3" s="16" t="s">
        <v>78</v>
      </c>
      <c r="Q3" s="17">
        <v>12060842</v>
      </c>
      <c r="R3" s="8">
        <f>Q3/SUM($Q$3:$Q$6)</f>
        <v>0.25155035239097456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5" customHeight="1" x14ac:dyDescent="0.35">
      <c r="A4" s="11" t="s">
        <v>56</v>
      </c>
      <c r="B4" s="8">
        <v>0.33841131664853102</v>
      </c>
      <c r="C4" s="8">
        <v>0.26877040261153429</v>
      </c>
      <c r="D4" s="8">
        <v>8.8139281828073998E-2</v>
      </c>
      <c r="E4" s="8">
        <v>0</v>
      </c>
      <c r="F4" s="8">
        <v>0</v>
      </c>
      <c r="G4" s="61">
        <v>0</v>
      </c>
      <c r="H4" s="8">
        <v>7.725788900979326E-2</v>
      </c>
      <c r="I4" s="8">
        <v>0.17192600652883569</v>
      </c>
      <c r="J4" s="8">
        <v>5.5495103373231776E-2</v>
      </c>
      <c r="K4" s="8">
        <v>0</v>
      </c>
      <c r="L4" s="8">
        <v>0</v>
      </c>
      <c r="M4" s="8">
        <v>0</v>
      </c>
      <c r="N4" s="13"/>
      <c r="O4" s="14"/>
      <c r="P4" s="16" t="s">
        <v>79</v>
      </c>
      <c r="Q4" s="17">
        <v>18930669</v>
      </c>
      <c r="R4" s="8">
        <f>Q4/SUM($Q$3:$Q$6)</f>
        <v>0.39483283654216661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15" customHeight="1" x14ac:dyDescent="0.35">
      <c r="A5" s="11" t="s">
        <v>57</v>
      </c>
      <c r="B5" s="8">
        <v>0.28967600219659528</v>
      </c>
      <c r="C5" s="8">
        <v>0.31356397583745194</v>
      </c>
      <c r="D5" s="8">
        <v>0.14744645799011533</v>
      </c>
      <c r="E5" s="8">
        <v>0</v>
      </c>
      <c r="F5" s="8">
        <v>0</v>
      </c>
      <c r="G5" s="61">
        <v>0</v>
      </c>
      <c r="H5" s="8">
        <v>4.0362438220757822E-2</v>
      </c>
      <c r="I5" s="8">
        <v>0.13838550247116968</v>
      </c>
      <c r="J5" s="8">
        <v>7.0565623283909945E-2</v>
      </c>
      <c r="K5" s="8">
        <v>0</v>
      </c>
      <c r="L5" s="8">
        <v>0</v>
      </c>
      <c r="M5" s="8">
        <v>0</v>
      </c>
      <c r="N5" s="13"/>
      <c r="O5" s="16"/>
      <c r="P5" s="16" t="s">
        <v>18</v>
      </c>
      <c r="Q5" s="17">
        <v>14831663</v>
      </c>
      <c r="R5" s="8">
        <f>Q5/SUM($Q$3:$Q$6)</f>
        <v>0.30934076196290267</v>
      </c>
      <c r="S5" s="1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ht="18.75" customHeight="1" x14ac:dyDescent="0.35">
      <c r="A6" s="11" t="s">
        <v>58</v>
      </c>
      <c r="B6" s="8">
        <v>0.13178158907945398</v>
      </c>
      <c r="C6" s="8">
        <v>0.44592229611480572</v>
      </c>
      <c r="D6" s="8">
        <v>0.27266363318165909</v>
      </c>
      <c r="E6" s="8">
        <v>0</v>
      </c>
      <c r="F6" s="8">
        <v>0</v>
      </c>
      <c r="G6" s="61">
        <v>0</v>
      </c>
      <c r="H6" s="8">
        <v>1.0675533776688834E-2</v>
      </c>
      <c r="I6" s="8">
        <v>7.1928596429821495E-2</v>
      </c>
      <c r="J6" s="8">
        <v>6.7028351417570881E-2</v>
      </c>
      <c r="K6" s="8">
        <v>0</v>
      </c>
      <c r="L6" s="8">
        <v>0</v>
      </c>
      <c r="M6" s="8">
        <v>0</v>
      </c>
      <c r="N6" s="13"/>
      <c r="O6" s="16"/>
      <c r="P6" s="16" t="s">
        <v>19</v>
      </c>
      <c r="Q6" s="17">
        <v>2122861</v>
      </c>
      <c r="R6" s="8">
        <f>Q6/SUM($Q$3:$Q$6)</f>
        <v>4.4276049103956147E-2</v>
      </c>
      <c r="S6" s="14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18.75" customHeight="1" x14ac:dyDescent="0.35">
      <c r="A7" s="11" t="s">
        <v>80</v>
      </c>
      <c r="B7" s="8">
        <v>0</v>
      </c>
      <c r="C7" s="8">
        <v>0</v>
      </c>
      <c r="D7" s="8">
        <v>0</v>
      </c>
      <c r="E7" s="8">
        <v>0</v>
      </c>
      <c r="F7" s="8">
        <v>0.58983999175109947</v>
      </c>
      <c r="G7" s="61">
        <v>0.10724363486383626</v>
      </c>
      <c r="H7" s="8">
        <v>0</v>
      </c>
      <c r="I7" s="8">
        <v>0</v>
      </c>
      <c r="J7" s="8">
        <v>0</v>
      </c>
      <c r="K7" s="8">
        <v>0</v>
      </c>
      <c r="L7" s="8">
        <v>0.18174982403103859</v>
      </c>
      <c r="M7" s="8">
        <v>0.12116654935402572</v>
      </c>
      <c r="N7" s="13"/>
      <c r="O7" s="16"/>
      <c r="P7" s="16" t="s">
        <v>81</v>
      </c>
      <c r="Q7" s="17">
        <f>SUM(Q3:Q6)</f>
        <v>47946035</v>
      </c>
      <c r="R7" s="17">
        <f>SUM(R3:R6)</f>
        <v>0.99999999999999989</v>
      </c>
      <c r="S7" s="14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1:33" ht="18.75" customHeight="1" x14ac:dyDescent="0.35">
      <c r="A8" s="11" t="s">
        <v>82</v>
      </c>
      <c r="B8" s="8">
        <v>0</v>
      </c>
      <c r="C8" s="8">
        <v>0</v>
      </c>
      <c r="D8" s="8">
        <v>0</v>
      </c>
      <c r="E8" s="8">
        <v>0</v>
      </c>
      <c r="F8" s="8">
        <v>0.57074342558847169</v>
      </c>
      <c r="G8" s="61">
        <v>9.5003035263138247E-2</v>
      </c>
      <c r="H8" s="8">
        <v>0</v>
      </c>
      <c r="I8" s="8">
        <v>0</v>
      </c>
      <c r="J8" s="8">
        <v>0</v>
      </c>
      <c r="K8" s="8">
        <v>0</v>
      </c>
      <c r="L8" s="8">
        <v>6.1201352238437631E-2</v>
      </c>
      <c r="M8" s="8">
        <v>0.27305218690995253</v>
      </c>
      <c r="N8" s="13"/>
      <c r="O8" s="16"/>
      <c r="P8" s="16"/>
      <c r="Q8" s="17"/>
      <c r="R8" s="58"/>
      <c r="S8" s="14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ht="18.75" customHeight="1" x14ac:dyDescent="0.35">
      <c r="A9" s="11" t="s">
        <v>83</v>
      </c>
      <c r="B9" s="8">
        <v>0</v>
      </c>
      <c r="C9" s="8">
        <v>0</v>
      </c>
      <c r="D9" s="8">
        <v>0</v>
      </c>
      <c r="E9" s="8">
        <v>0</v>
      </c>
      <c r="F9" s="8">
        <v>0.35939117361093076</v>
      </c>
      <c r="G9" s="61">
        <v>0.40468430781943149</v>
      </c>
      <c r="H9" s="8">
        <v>0</v>
      </c>
      <c r="I9" s="8">
        <v>0</v>
      </c>
      <c r="J9" s="8">
        <v>0</v>
      </c>
      <c r="K9" s="8">
        <v>0</v>
      </c>
      <c r="L9" s="8">
        <v>4.469553229496738E-2</v>
      </c>
      <c r="M9" s="8">
        <v>0.19122898627467061</v>
      </c>
      <c r="N9" s="13"/>
      <c r="O9" s="16"/>
      <c r="P9" s="16"/>
      <c r="Q9" s="17"/>
      <c r="R9" s="17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spans="1:33" ht="18.75" customHeight="1" x14ac:dyDescent="0.35">
      <c r="A10" s="11" t="s">
        <v>19</v>
      </c>
      <c r="B10" s="8">
        <v>0</v>
      </c>
      <c r="C10" s="8">
        <v>0</v>
      </c>
      <c r="D10" s="8">
        <v>0</v>
      </c>
      <c r="E10" s="8">
        <v>0.8</v>
      </c>
      <c r="F10" s="8">
        <v>0</v>
      </c>
      <c r="G10" s="61">
        <v>0</v>
      </c>
      <c r="H10" s="8">
        <v>0</v>
      </c>
      <c r="I10" s="8">
        <v>0</v>
      </c>
      <c r="J10" s="8">
        <v>0</v>
      </c>
      <c r="K10" s="8">
        <v>0.2</v>
      </c>
      <c r="L10" s="8">
        <v>0</v>
      </c>
      <c r="M10" s="8">
        <v>0</v>
      </c>
      <c r="N10" s="13"/>
      <c r="O10" s="16"/>
      <c r="P10" s="16"/>
      <c r="Q10" s="17"/>
      <c r="R10" s="17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ht="18.75" customHeight="1" x14ac:dyDescent="0.35">
      <c r="A11" s="16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16"/>
      <c r="O11" s="16"/>
      <c r="P11" s="16"/>
      <c r="Q11" s="17"/>
      <c r="R11" s="17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ht="18.75" customHeight="1" x14ac:dyDescent="0.35">
      <c r="A12" s="16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16"/>
      <c r="O12" s="16"/>
      <c r="P12" s="16"/>
      <c r="Q12" s="17"/>
      <c r="R12" s="17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18.75" customHeight="1" x14ac:dyDescent="0.35">
      <c r="A13" s="16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16"/>
      <c r="O13" s="16"/>
      <c r="P13" s="16"/>
      <c r="Q13" s="17"/>
      <c r="R13" s="17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ht="18.75" customHeight="1" x14ac:dyDescent="0.35">
      <c r="A14" s="16"/>
      <c r="B14" s="62"/>
      <c r="C14" s="63"/>
      <c r="D14" s="63"/>
      <c r="E14" s="63"/>
      <c r="F14" s="63"/>
      <c r="G14" s="63"/>
      <c r="H14" s="63"/>
      <c r="I14" s="63"/>
      <c r="J14" s="62"/>
      <c r="K14" s="13"/>
      <c r="L14" s="13"/>
      <c r="M14" s="62"/>
      <c r="N14" s="16"/>
      <c r="O14" s="16"/>
      <c r="P14" s="62"/>
      <c r="Q14" s="62"/>
      <c r="R14" s="62"/>
      <c r="S14" s="62"/>
      <c r="T14" s="62"/>
      <c r="U14" s="62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ht="18.75" customHeight="1" x14ac:dyDescent="0.35">
      <c r="A15" s="16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16"/>
      <c r="O15" s="16"/>
      <c r="P15" s="62"/>
      <c r="Q15" s="62"/>
      <c r="R15" s="62"/>
      <c r="S15" s="62"/>
      <c r="T15" s="62"/>
      <c r="U15" s="62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ht="18.75" customHeight="1" x14ac:dyDescent="0.35">
      <c r="A16" s="16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16"/>
      <c r="O16" s="16"/>
      <c r="P16" s="62"/>
      <c r="Q16" s="62"/>
      <c r="R16" s="62"/>
      <c r="S16" s="62"/>
      <c r="T16" s="62"/>
      <c r="U16" s="62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ht="18.75" customHeight="1" x14ac:dyDescent="0.35">
      <c r="A17" s="16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16"/>
      <c r="O17" s="16"/>
      <c r="P17" s="16"/>
      <c r="Q17" s="17"/>
      <c r="R17" s="17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ht="18.75" customHeight="1" x14ac:dyDescent="0.35">
      <c r="A18" s="16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16"/>
      <c r="O18" s="16"/>
      <c r="P18" s="16"/>
      <c r="Q18" s="17"/>
      <c r="R18" s="17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spans="1:33" ht="18.75" customHeight="1" x14ac:dyDescent="0.35">
      <c r="A19" s="16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16"/>
      <c r="O19" s="16"/>
      <c r="P19" s="16"/>
      <c r="Q19" s="17"/>
      <c r="R19" s="17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spans="1:33" ht="18.75" customHeight="1" x14ac:dyDescent="0.35">
      <c r="A20" s="16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16"/>
      <c r="O20" s="16"/>
      <c r="P20" s="16"/>
      <c r="Q20" s="17"/>
      <c r="R20" s="17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spans="1:33" ht="18.75" customHeight="1" x14ac:dyDescent="0.35">
      <c r="A21" s="16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6"/>
      <c r="O21" s="16"/>
      <c r="P21" s="16"/>
      <c r="Q21" s="17"/>
      <c r="R21" s="17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18.75" customHeight="1" x14ac:dyDescent="0.35">
      <c r="A22" s="16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16"/>
      <c r="O22" s="16"/>
      <c r="P22" s="16"/>
      <c r="Q22" s="17"/>
      <c r="R22" s="17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ht="18.75" customHeight="1" x14ac:dyDescent="0.35">
      <c r="A23" s="16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16"/>
      <c r="O23" s="16"/>
      <c r="P23" s="16"/>
      <c r="Q23" s="17"/>
      <c r="R23" s="17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ht="18.75" customHeight="1" x14ac:dyDescent="0.35">
      <c r="A24" s="16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16"/>
      <c r="O24" s="16"/>
      <c r="P24" s="16"/>
      <c r="Q24" s="17"/>
      <c r="R24" s="17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ht="18.75" customHeight="1" x14ac:dyDescent="0.35">
      <c r="A25" s="16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16"/>
      <c r="O25" s="16"/>
      <c r="P25" s="16"/>
      <c r="Q25" s="17"/>
      <c r="R25" s="17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ht="18.75" customHeight="1" x14ac:dyDescent="0.35">
      <c r="A26" s="16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16"/>
      <c r="O26" s="16"/>
      <c r="P26" s="16"/>
      <c r="Q26" s="17"/>
      <c r="R26" s="17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18.75" customHeight="1" x14ac:dyDescent="0.35">
      <c r="A27" s="16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16"/>
      <c r="O27" s="16"/>
      <c r="P27" s="16"/>
      <c r="Q27" s="17"/>
      <c r="R27" s="17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pans="1:33" ht="18.75" customHeight="1" x14ac:dyDescent="0.35">
      <c r="A28" s="16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16"/>
      <c r="O28" s="16"/>
      <c r="P28" s="16"/>
      <c r="Q28" s="17"/>
      <c r="R28" s="17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ht="18.75" customHeight="1" x14ac:dyDescent="0.35">
      <c r="A29" s="16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16"/>
      <c r="O29" s="16"/>
      <c r="P29" s="16"/>
      <c r="Q29" s="17"/>
      <c r="R29" s="17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spans="1:33" ht="18.75" customHeight="1" x14ac:dyDescent="0.35">
      <c r="A30" s="16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16"/>
      <c r="O30" s="16"/>
      <c r="P30" s="16"/>
      <c r="Q30" s="17"/>
      <c r="R30" s="17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spans="1:33" ht="18.75" customHeight="1" x14ac:dyDescent="0.35">
      <c r="A31" s="16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16"/>
      <c r="O31" s="16"/>
      <c r="P31" s="16"/>
      <c r="Q31" s="17"/>
      <c r="R31" s="17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spans="1:33" ht="18.75" customHeight="1" x14ac:dyDescent="0.35">
      <c r="A32" s="16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16"/>
      <c r="O32" s="16"/>
      <c r="P32" s="16"/>
      <c r="Q32" s="17"/>
      <c r="R32" s="17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spans="1:33" ht="18.75" customHeight="1" x14ac:dyDescent="0.35">
      <c r="A33" s="16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16"/>
      <c r="O33" s="16"/>
      <c r="P33" s="16"/>
      <c r="Q33" s="17"/>
      <c r="R33" s="17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28"/>
  <sheetViews>
    <sheetView workbookViewId="0"/>
  </sheetViews>
  <sheetFormatPr defaultRowHeight="14.5" x14ac:dyDescent="0.35"/>
  <cols>
    <col min="1" max="1" width="13.54296875" style="49" bestFit="1" customWidth="1"/>
    <col min="2" max="13" width="13.54296875" style="53" bestFit="1" customWidth="1"/>
    <col min="14" max="25" width="13.54296875" style="23" bestFit="1" customWidth="1"/>
  </cols>
  <sheetData>
    <row r="1" spans="1:25" ht="18.75" customHeight="1" x14ac:dyDescent="0.35">
      <c r="A1" s="47"/>
      <c r="B1" s="84" t="s">
        <v>75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 t="s">
        <v>76</v>
      </c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spans="1:25" ht="18.75" customHeight="1" x14ac:dyDescent="0.35">
      <c r="A2" s="31" t="s">
        <v>77</v>
      </c>
      <c r="B2" s="50" t="s">
        <v>63</v>
      </c>
      <c r="C2" s="51" t="s">
        <v>64</v>
      </c>
      <c r="D2" s="51" t="s">
        <v>65</v>
      </c>
      <c r="E2" s="51" t="s">
        <v>73</v>
      </c>
      <c r="F2" s="51" t="s">
        <v>69</v>
      </c>
      <c r="G2" s="51" t="s">
        <v>70</v>
      </c>
      <c r="H2" s="50" t="s">
        <v>66</v>
      </c>
      <c r="I2" s="51" t="s">
        <v>67</v>
      </c>
      <c r="J2" s="51" t="s">
        <v>68</v>
      </c>
      <c r="K2" s="51" t="s">
        <v>74</v>
      </c>
      <c r="L2" s="51" t="s">
        <v>71</v>
      </c>
      <c r="M2" s="51" t="s">
        <v>72</v>
      </c>
      <c r="N2" s="4" t="s">
        <v>63</v>
      </c>
      <c r="O2" s="1" t="s">
        <v>64</v>
      </c>
      <c r="P2" s="1" t="s">
        <v>65</v>
      </c>
      <c r="Q2" s="1" t="s">
        <v>73</v>
      </c>
      <c r="R2" s="1" t="s">
        <v>69</v>
      </c>
      <c r="S2" s="1" t="s">
        <v>70</v>
      </c>
      <c r="T2" s="4" t="s">
        <v>66</v>
      </c>
      <c r="U2" s="1" t="s">
        <v>67</v>
      </c>
      <c r="V2" s="1" t="s">
        <v>68</v>
      </c>
      <c r="W2" s="1" t="s">
        <v>74</v>
      </c>
      <c r="X2" s="1" t="s">
        <v>71</v>
      </c>
      <c r="Y2" s="1" t="s">
        <v>72</v>
      </c>
    </row>
    <row r="3" spans="1:25" ht="18.75" customHeight="1" x14ac:dyDescent="0.35">
      <c r="A3" s="48">
        <v>2020</v>
      </c>
      <c r="B3" s="52">
        <v>0.15</v>
      </c>
      <c r="C3" s="12">
        <v>0.16</v>
      </c>
      <c r="D3" s="12">
        <v>0.18</v>
      </c>
      <c r="E3" s="12">
        <v>0.2</v>
      </c>
      <c r="F3" s="12">
        <v>0.15</v>
      </c>
      <c r="G3" s="12">
        <v>0.16</v>
      </c>
      <c r="H3" s="52">
        <v>0.15</v>
      </c>
      <c r="I3" s="12">
        <v>0.16</v>
      </c>
      <c r="J3" s="12">
        <v>0.18</v>
      </c>
      <c r="K3" s="12">
        <v>0.2</v>
      </c>
      <c r="L3" s="12">
        <v>0.15</v>
      </c>
      <c r="M3" s="12">
        <v>0.16</v>
      </c>
      <c r="N3" s="9">
        <v>35</v>
      </c>
      <c r="O3" s="8">
        <v>60</v>
      </c>
      <c r="P3" s="8">
        <v>80</v>
      </c>
      <c r="Q3" s="8">
        <v>45</v>
      </c>
      <c r="R3" s="8">
        <v>25</v>
      </c>
      <c r="S3" s="8">
        <v>50</v>
      </c>
      <c r="T3" s="9">
        <v>8.8000000000000007</v>
      </c>
      <c r="U3" s="8">
        <v>11.5</v>
      </c>
      <c r="V3" s="8">
        <v>13</v>
      </c>
      <c r="W3" s="8">
        <v>13.4</v>
      </c>
      <c r="X3" s="8">
        <v>8.8000000000000007</v>
      </c>
      <c r="Y3" s="8">
        <v>11.5</v>
      </c>
    </row>
    <row r="4" spans="1:25" ht="18.75" customHeight="1" x14ac:dyDescent="0.35">
      <c r="A4" s="48">
        <v>2021</v>
      </c>
      <c r="B4" s="52">
        <v>0.15</v>
      </c>
      <c r="C4" s="12">
        <v>0.16</v>
      </c>
      <c r="D4" s="12">
        <v>0.18</v>
      </c>
      <c r="E4" s="12">
        <v>0.2</v>
      </c>
      <c r="F4" s="12">
        <v>0.15</v>
      </c>
      <c r="G4" s="12">
        <v>0.16</v>
      </c>
      <c r="H4" s="52">
        <v>0.15</v>
      </c>
      <c r="I4" s="12">
        <v>0.16</v>
      </c>
      <c r="J4" s="12">
        <v>0.18</v>
      </c>
      <c r="K4" s="12">
        <v>0.2</v>
      </c>
      <c r="L4" s="12">
        <v>0.15</v>
      </c>
      <c r="M4" s="12">
        <v>0.16</v>
      </c>
      <c r="N4" s="9">
        <v>35</v>
      </c>
      <c r="O4" s="8">
        <v>60</v>
      </c>
      <c r="P4" s="8">
        <v>80</v>
      </c>
      <c r="Q4" s="8">
        <v>45</v>
      </c>
      <c r="R4" s="8">
        <v>25</v>
      </c>
      <c r="S4" s="8">
        <v>50</v>
      </c>
      <c r="T4" s="9">
        <v>8.8000000000000007</v>
      </c>
      <c r="U4" s="8">
        <v>11.5</v>
      </c>
      <c r="V4" s="8">
        <v>13</v>
      </c>
      <c r="W4" s="8">
        <v>13.4</v>
      </c>
      <c r="X4" s="8">
        <v>8.8000000000000007</v>
      </c>
      <c r="Y4" s="8">
        <v>11.5</v>
      </c>
    </row>
    <row r="5" spans="1:25" ht="18.75" customHeight="1" x14ac:dyDescent="0.35">
      <c r="A5" s="48">
        <v>2022</v>
      </c>
      <c r="B5" s="52">
        <v>0.15</v>
      </c>
      <c r="C5" s="12">
        <v>0.16</v>
      </c>
      <c r="D5" s="12">
        <v>0.18</v>
      </c>
      <c r="E5" s="12">
        <v>0.2</v>
      </c>
      <c r="F5" s="12">
        <v>0.15</v>
      </c>
      <c r="G5" s="12">
        <v>0.16</v>
      </c>
      <c r="H5" s="52">
        <v>0.15</v>
      </c>
      <c r="I5" s="12">
        <v>0.16</v>
      </c>
      <c r="J5" s="12">
        <v>0.18</v>
      </c>
      <c r="K5" s="12">
        <v>0.2</v>
      </c>
      <c r="L5" s="12">
        <v>0.15</v>
      </c>
      <c r="M5" s="12">
        <v>0.16</v>
      </c>
      <c r="N5" s="9">
        <v>35</v>
      </c>
      <c r="O5" s="8">
        <v>60</v>
      </c>
      <c r="P5" s="8">
        <v>80</v>
      </c>
      <c r="Q5" s="8">
        <v>45</v>
      </c>
      <c r="R5" s="8">
        <v>25</v>
      </c>
      <c r="S5" s="8">
        <v>50</v>
      </c>
      <c r="T5" s="9">
        <v>8.8000000000000007</v>
      </c>
      <c r="U5" s="8">
        <v>11.5</v>
      </c>
      <c r="V5" s="8">
        <v>13</v>
      </c>
      <c r="W5" s="8">
        <v>13.4</v>
      </c>
      <c r="X5" s="8">
        <v>8.8000000000000007</v>
      </c>
      <c r="Y5" s="8">
        <v>11.5</v>
      </c>
    </row>
    <row r="6" spans="1:25" ht="18.75" customHeight="1" x14ac:dyDescent="0.35">
      <c r="A6" s="48">
        <v>2023</v>
      </c>
      <c r="B6" s="52">
        <v>0.15</v>
      </c>
      <c r="C6" s="12">
        <v>0.16</v>
      </c>
      <c r="D6" s="12">
        <v>0.18</v>
      </c>
      <c r="E6" s="12">
        <v>0.2</v>
      </c>
      <c r="F6" s="12">
        <v>0.15</v>
      </c>
      <c r="G6" s="12">
        <v>0.16</v>
      </c>
      <c r="H6" s="52">
        <v>0.15</v>
      </c>
      <c r="I6" s="12">
        <v>0.16</v>
      </c>
      <c r="J6" s="12">
        <v>0.18</v>
      </c>
      <c r="K6" s="12">
        <v>0.2</v>
      </c>
      <c r="L6" s="12">
        <v>0.15</v>
      </c>
      <c r="M6" s="12">
        <v>0.16</v>
      </c>
      <c r="N6" s="9">
        <v>35</v>
      </c>
      <c r="O6" s="8">
        <v>60</v>
      </c>
      <c r="P6" s="8">
        <v>80</v>
      </c>
      <c r="Q6" s="8">
        <v>45</v>
      </c>
      <c r="R6" s="8">
        <v>25</v>
      </c>
      <c r="S6" s="8">
        <v>50</v>
      </c>
      <c r="T6" s="9">
        <v>8.8000000000000007</v>
      </c>
      <c r="U6" s="8">
        <v>11.5</v>
      </c>
      <c r="V6" s="8">
        <v>13</v>
      </c>
      <c r="W6" s="8">
        <v>13.4</v>
      </c>
      <c r="X6" s="8">
        <v>8.8000000000000007</v>
      </c>
      <c r="Y6" s="8">
        <v>11.5</v>
      </c>
    </row>
    <row r="7" spans="1:25" ht="18.75" customHeight="1" x14ac:dyDescent="0.35">
      <c r="A7" s="48">
        <v>2024</v>
      </c>
      <c r="B7" s="52">
        <v>0.15</v>
      </c>
      <c r="C7" s="12">
        <v>0.16</v>
      </c>
      <c r="D7" s="12">
        <v>0.18</v>
      </c>
      <c r="E7" s="12">
        <v>0.2</v>
      </c>
      <c r="F7" s="12">
        <v>0.15</v>
      </c>
      <c r="G7" s="12">
        <v>0.16</v>
      </c>
      <c r="H7" s="52">
        <v>0.15</v>
      </c>
      <c r="I7" s="12">
        <v>0.16</v>
      </c>
      <c r="J7" s="12">
        <v>0.18</v>
      </c>
      <c r="K7" s="12">
        <v>0.2</v>
      </c>
      <c r="L7" s="12">
        <v>0.15</v>
      </c>
      <c r="M7" s="12">
        <v>0.16</v>
      </c>
      <c r="N7" s="9">
        <v>35</v>
      </c>
      <c r="O7" s="8">
        <v>60</v>
      </c>
      <c r="P7" s="8">
        <v>80</v>
      </c>
      <c r="Q7" s="8">
        <v>45</v>
      </c>
      <c r="R7" s="8">
        <v>25</v>
      </c>
      <c r="S7" s="8">
        <v>50</v>
      </c>
      <c r="T7" s="9">
        <v>8.8000000000000007</v>
      </c>
      <c r="U7" s="8">
        <v>11.5</v>
      </c>
      <c r="V7" s="8">
        <v>13</v>
      </c>
      <c r="W7" s="8">
        <v>13.4</v>
      </c>
      <c r="X7" s="8">
        <v>8.8000000000000007</v>
      </c>
      <c r="Y7" s="8">
        <v>11.5</v>
      </c>
    </row>
    <row r="8" spans="1:25" ht="18.75" customHeight="1" x14ac:dyDescent="0.35">
      <c r="A8" s="48">
        <v>2025</v>
      </c>
      <c r="B8" s="52">
        <v>0.15</v>
      </c>
      <c r="C8" s="12">
        <v>0.16</v>
      </c>
      <c r="D8" s="12">
        <v>0.18</v>
      </c>
      <c r="E8" s="12">
        <v>0.2</v>
      </c>
      <c r="F8" s="12">
        <v>0.15</v>
      </c>
      <c r="G8" s="12">
        <v>0.16</v>
      </c>
      <c r="H8" s="52">
        <v>0.15</v>
      </c>
      <c r="I8" s="12">
        <v>0.16</v>
      </c>
      <c r="J8" s="12">
        <v>0.18</v>
      </c>
      <c r="K8" s="12">
        <v>0.2</v>
      </c>
      <c r="L8" s="12">
        <v>0.15</v>
      </c>
      <c r="M8" s="12">
        <v>0.16</v>
      </c>
      <c r="N8" s="9">
        <v>35</v>
      </c>
      <c r="O8" s="8">
        <v>60</v>
      </c>
      <c r="P8" s="8">
        <v>80</v>
      </c>
      <c r="Q8" s="8">
        <v>45</v>
      </c>
      <c r="R8" s="8">
        <v>25</v>
      </c>
      <c r="S8" s="8">
        <v>50</v>
      </c>
      <c r="T8" s="9">
        <v>8.8000000000000007</v>
      </c>
      <c r="U8" s="8">
        <v>11.5</v>
      </c>
      <c r="V8" s="8">
        <v>13</v>
      </c>
      <c r="W8" s="8">
        <v>13.4</v>
      </c>
      <c r="X8" s="8">
        <v>8.8000000000000007</v>
      </c>
      <c r="Y8" s="8">
        <v>11.5</v>
      </c>
    </row>
    <row r="9" spans="1:25" ht="18.75" customHeight="1" x14ac:dyDescent="0.35">
      <c r="A9" s="48">
        <v>2026</v>
      </c>
      <c r="B9" s="52">
        <v>0.15</v>
      </c>
      <c r="C9" s="12">
        <v>0.16</v>
      </c>
      <c r="D9" s="12">
        <v>0.18</v>
      </c>
      <c r="E9" s="12">
        <v>0.2</v>
      </c>
      <c r="F9" s="12">
        <v>0.15</v>
      </c>
      <c r="G9" s="12">
        <v>0.16</v>
      </c>
      <c r="H9" s="52">
        <v>0.15</v>
      </c>
      <c r="I9" s="12">
        <v>0.16</v>
      </c>
      <c r="J9" s="12">
        <v>0.18</v>
      </c>
      <c r="K9" s="12">
        <v>0.2</v>
      </c>
      <c r="L9" s="12">
        <v>0.15</v>
      </c>
      <c r="M9" s="12">
        <v>0.16</v>
      </c>
      <c r="N9" s="9">
        <v>35</v>
      </c>
      <c r="O9" s="8">
        <v>60</v>
      </c>
      <c r="P9" s="8">
        <v>80</v>
      </c>
      <c r="Q9" s="8">
        <v>45</v>
      </c>
      <c r="R9" s="8">
        <v>25</v>
      </c>
      <c r="S9" s="8">
        <v>50</v>
      </c>
      <c r="T9" s="9">
        <v>8.8000000000000007</v>
      </c>
      <c r="U9" s="8">
        <v>11.5</v>
      </c>
      <c r="V9" s="8">
        <v>13</v>
      </c>
      <c r="W9" s="8">
        <v>13.4</v>
      </c>
      <c r="X9" s="8">
        <v>8.8000000000000007</v>
      </c>
      <c r="Y9" s="8">
        <v>11.5</v>
      </c>
    </row>
    <row r="10" spans="1:25" ht="18.75" customHeight="1" x14ac:dyDescent="0.35">
      <c r="A10" s="48">
        <v>2027</v>
      </c>
      <c r="B10" s="52">
        <v>0.15</v>
      </c>
      <c r="C10" s="12">
        <v>0.16</v>
      </c>
      <c r="D10" s="12">
        <v>0.18</v>
      </c>
      <c r="E10" s="12">
        <v>0.2</v>
      </c>
      <c r="F10" s="12">
        <v>0.15</v>
      </c>
      <c r="G10" s="12">
        <v>0.16</v>
      </c>
      <c r="H10" s="52">
        <v>0.15</v>
      </c>
      <c r="I10" s="12">
        <v>0.16</v>
      </c>
      <c r="J10" s="12">
        <v>0.18</v>
      </c>
      <c r="K10" s="12">
        <v>0.2</v>
      </c>
      <c r="L10" s="12">
        <v>0.15</v>
      </c>
      <c r="M10" s="12">
        <v>0.16</v>
      </c>
      <c r="N10" s="9">
        <v>35</v>
      </c>
      <c r="O10" s="8">
        <v>60</v>
      </c>
      <c r="P10" s="8">
        <v>80</v>
      </c>
      <c r="Q10" s="8">
        <v>45</v>
      </c>
      <c r="R10" s="8">
        <v>25</v>
      </c>
      <c r="S10" s="8">
        <v>50</v>
      </c>
      <c r="T10" s="9">
        <v>8.8000000000000007</v>
      </c>
      <c r="U10" s="8">
        <v>11.5</v>
      </c>
      <c r="V10" s="8">
        <v>13</v>
      </c>
      <c r="W10" s="8">
        <v>13.4</v>
      </c>
      <c r="X10" s="8">
        <v>8.8000000000000007</v>
      </c>
      <c r="Y10" s="8">
        <v>11.5</v>
      </c>
    </row>
    <row r="11" spans="1:25" ht="18.75" customHeight="1" x14ac:dyDescent="0.35">
      <c r="A11" s="48">
        <v>2028</v>
      </c>
      <c r="B11" s="52">
        <v>0.15</v>
      </c>
      <c r="C11" s="12">
        <v>0.16</v>
      </c>
      <c r="D11" s="12">
        <v>0.18</v>
      </c>
      <c r="E11" s="12">
        <v>0.2</v>
      </c>
      <c r="F11" s="12">
        <v>0.15</v>
      </c>
      <c r="G11" s="12">
        <v>0.16</v>
      </c>
      <c r="H11" s="52">
        <v>0.15</v>
      </c>
      <c r="I11" s="12">
        <v>0.16</v>
      </c>
      <c r="J11" s="12">
        <v>0.18</v>
      </c>
      <c r="K11" s="12">
        <v>0.2</v>
      </c>
      <c r="L11" s="12">
        <v>0.15</v>
      </c>
      <c r="M11" s="12">
        <v>0.16</v>
      </c>
      <c r="N11" s="9">
        <v>35</v>
      </c>
      <c r="O11" s="8">
        <v>60</v>
      </c>
      <c r="P11" s="8">
        <v>80</v>
      </c>
      <c r="Q11" s="8">
        <v>45</v>
      </c>
      <c r="R11" s="8">
        <v>25</v>
      </c>
      <c r="S11" s="8">
        <v>50</v>
      </c>
      <c r="T11" s="9">
        <v>8.8000000000000007</v>
      </c>
      <c r="U11" s="8">
        <v>11.5</v>
      </c>
      <c r="V11" s="8">
        <v>13</v>
      </c>
      <c r="W11" s="8">
        <v>13.4</v>
      </c>
      <c r="X11" s="8">
        <v>8.8000000000000007</v>
      </c>
      <c r="Y11" s="8">
        <v>11.5</v>
      </c>
    </row>
    <row r="12" spans="1:25" ht="18.75" customHeight="1" x14ac:dyDescent="0.35">
      <c r="A12" s="48">
        <v>2029</v>
      </c>
      <c r="B12" s="52">
        <v>0.15</v>
      </c>
      <c r="C12" s="12">
        <v>0.16</v>
      </c>
      <c r="D12" s="12">
        <v>0.18</v>
      </c>
      <c r="E12" s="12">
        <v>0.2</v>
      </c>
      <c r="F12" s="12">
        <v>0.15</v>
      </c>
      <c r="G12" s="12">
        <v>0.16</v>
      </c>
      <c r="H12" s="52">
        <v>0.15</v>
      </c>
      <c r="I12" s="12">
        <v>0.16</v>
      </c>
      <c r="J12" s="12">
        <v>0.18</v>
      </c>
      <c r="K12" s="12">
        <v>0.2</v>
      </c>
      <c r="L12" s="12">
        <v>0.15</v>
      </c>
      <c r="M12" s="12">
        <v>0.16</v>
      </c>
      <c r="N12" s="9">
        <v>35</v>
      </c>
      <c r="O12" s="8">
        <v>60</v>
      </c>
      <c r="P12" s="8">
        <v>80</v>
      </c>
      <c r="Q12" s="8">
        <v>45</v>
      </c>
      <c r="R12" s="8">
        <v>25</v>
      </c>
      <c r="S12" s="8">
        <v>50</v>
      </c>
      <c r="T12" s="9">
        <v>8.8000000000000007</v>
      </c>
      <c r="U12" s="8">
        <v>11.5</v>
      </c>
      <c r="V12" s="8">
        <v>13</v>
      </c>
      <c r="W12" s="8">
        <v>13.4</v>
      </c>
      <c r="X12" s="8">
        <v>8.8000000000000007</v>
      </c>
      <c r="Y12" s="8">
        <v>11.5</v>
      </c>
    </row>
    <row r="13" spans="1:25" ht="18.75" customHeight="1" x14ac:dyDescent="0.35">
      <c r="A13" s="48">
        <v>2030</v>
      </c>
      <c r="B13" s="52">
        <v>0.15</v>
      </c>
      <c r="C13" s="12">
        <v>0.16</v>
      </c>
      <c r="D13" s="12">
        <v>0.18</v>
      </c>
      <c r="E13" s="12">
        <v>0.2</v>
      </c>
      <c r="F13" s="12">
        <v>0.15</v>
      </c>
      <c r="G13" s="12">
        <v>0.16</v>
      </c>
      <c r="H13" s="52">
        <v>0.15</v>
      </c>
      <c r="I13" s="12">
        <v>0.16</v>
      </c>
      <c r="J13" s="12">
        <v>0.18</v>
      </c>
      <c r="K13" s="12">
        <v>0.2</v>
      </c>
      <c r="L13" s="12">
        <v>0.15</v>
      </c>
      <c r="M13" s="12">
        <v>0.16</v>
      </c>
      <c r="N13" s="9">
        <v>35</v>
      </c>
      <c r="O13" s="8">
        <v>60</v>
      </c>
      <c r="P13" s="8">
        <v>80</v>
      </c>
      <c r="Q13" s="8">
        <v>45</v>
      </c>
      <c r="R13" s="8">
        <v>25</v>
      </c>
      <c r="S13" s="8">
        <v>50</v>
      </c>
      <c r="T13" s="9">
        <v>8.8000000000000007</v>
      </c>
      <c r="U13" s="8">
        <v>11.5</v>
      </c>
      <c r="V13" s="8">
        <v>13</v>
      </c>
      <c r="W13" s="8">
        <v>13.4</v>
      </c>
      <c r="X13" s="8">
        <v>8.8000000000000007</v>
      </c>
      <c r="Y13" s="8">
        <v>11.5</v>
      </c>
    </row>
    <row r="14" spans="1:25" ht="18.75" customHeight="1" x14ac:dyDescent="0.35">
      <c r="A14" s="48">
        <v>2031</v>
      </c>
      <c r="B14" s="52">
        <v>0.15</v>
      </c>
      <c r="C14" s="12">
        <v>0.16</v>
      </c>
      <c r="D14" s="12">
        <v>0.18</v>
      </c>
      <c r="E14" s="12">
        <v>0.2</v>
      </c>
      <c r="F14" s="12">
        <v>0.15</v>
      </c>
      <c r="G14" s="12">
        <v>0.16</v>
      </c>
      <c r="H14" s="52">
        <v>0.15</v>
      </c>
      <c r="I14" s="12">
        <v>0.16</v>
      </c>
      <c r="J14" s="12">
        <v>0.18</v>
      </c>
      <c r="K14" s="12">
        <v>0.2</v>
      </c>
      <c r="L14" s="12">
        <v>0.15</v>
      </c>
      <c r="M14" s="12">
        <v>0.16</v>
      </c>
      <c r="N14" s="9">
        <v>35</v>
      </c>
      <c r="O14" s="8">
        <v>60</v>
      </c>
      <c r="P14" s="8">
        <v>80</v>
      </c>
      <c r="Q14" s="8">
        <v>45</v>
      </c>
      <c r="R14" s="8">
        <v>25</v>
      </c>
      <c r="S14" s="8">
        <v>50</v>
      </c>
      <c r="T14" s="9">
        <v>8.8000000000000007</v>
      </c>
      <c r="U14" s="8">
        <v>11.5</v>
      </c>
      <c r="V14" s="8">
        <v>13</v>
      </c>
      <c r="W14" s="8">
        <v>13.4</v>
      </c>
      <c r="X14" s="8">
        <v>8.8000000000000007</v>
      </c>
      <c r="Y14" s="8">
        <v>11.5</v>
      </c>
    </row>
    <row r="15" spans="1:25" ht="18.75" customHeight="1" x14ac:dyDescent="0.35">
      <c r="A15" s="48">
        <v>2032</v>
      </c>
      <c r="B15" s="52">
        <v>0.15</v>
      </c>
      <c r="C15" s="12">
        <v>0.16</v>
      </c>
      <c r="D15" s="12">
        <v>0.18</v>
      </c>
      <c r="E15" s="12">
        <v>0.2</v>
      </c>
      <c r="F15" s="12">
        <v>0.15</v>
      </c>
      <c r="G15" s="12">
        <v>0.16</v>
      </c>
      <c r="H15" s="52">
        <v>0.15</v>
      </c>
      <c r="I15" s="12">
        <v>0.16</v>
      </c>
      <c r="J15" s="12">
        <v>0.18</v>
      </c>
      <c r="K15" s="12">
        <v>0.2</v>
      </c>
      <c r="L15" s="12">
        <v>0.15</v>
      </c>
      <c r="M15" s="12">
        <v>0.16</v>
      </c>
      <c r="N15" s="9">
        <v>35</v>
      </c>
      <c r="O15" s="8">
        <v>60</v>
      </c>
      <c r="P15" s="8">
        <v>80</v>
      </c>
      <c r="Q15" s="8">
        <v>45</v>
      </c>
      <c r="R15" s="8">
        <v>25</v>
      </c>
      <c r="S15" s="8">
        <v>50</v>
      </c>
      <c r="T15" s="9">
        <v>8.8000000000000007</v>
      </c>
      <c r="U15" s="8">
        <v>11.5</v>
      </c>
      <c r="V15" s="8">
        <v>13</v>
      </c>
      <c r="W15" s="8">
        <v>13.4</v>
      </c>
      <c r="X15" s="8">
        <v>8.8000000000000007</v>
      </c>
      <c r="Y15" s="8">
        <v>11.5</v>
      </c>
    </row>
    <row r="16" spans="1:25" ht="18.75" customHeight="1" x14ac:dyDescent="0.35">
      <c r="A16" s="48">
        <v>2033</v>
      </c>
      <c r="B16" s="52">
        <v>0.15</v>
      </c>
      <c r="C16" s="12">
        <v>0.16</v>
      </c>
      <c r="D16" s="12">
        <v>0.18</v>
      </c>
      <c r="E16" s="12">
        <v>0.2</v>
      </c>
      <c r="F16" s="12">
        <v>0.15</v>
      </c>
      <c r="G16" s="12">
        <v>0.16</v>
      </c>
      <c r="H16" s="52">
        <v>0.15</v>
      </c>
      <c r="I16" s="12">
        <v>0.16</v>
      </c>
      <c r="J16" s="12">
        <v>0.18</v>
      </c>
      <c r="K16" s="12">
        <v>0.2</v>
      </c>
      <c r="L16" s="12">
        <v>0.15</v>
      </c>
      <c r="M16" s="12">
        <v>0.16</v>
      </c>
      <c r="N16" s="9">
        <v>35</v>
      </c>
      <c r="O16" s="8">
        <v>60</v>
      </c>
      <c r="P16" s="8">
        <v>80</v>
      </c>
      <c r="Q16" s="8">
        <v>45</v>
      </c>
      <c r="R16" s="8">
        <v>25</v>
      </c>
      <c r="S16" s="8">
        <v>50</v>
      </c>
      <c r="T16" s="9">
        <v>8.8000000000000007</v>
      </c>
      <c r="U16" s="8">
        <v>11.5</v>
      </c>
      <c r="V16" s="8">
        <v>13</v>
      </c>
      <c r="W16" s="8">
        <v>13.4</v>
      </c>
      <c r="X16" s="8">
        <v>8.8000000000000007</v>
      </c>
      <c r="Y16" s="8">
        <v>11.5</v>
      </c>
    </row>
    <row r="17" spans="1:25" ht="18.75" customHeight="1" x14ac:dyDescent="0.35">
      <c r="A17" s="48">
        <v>2034</v>
      </c>
      <c r="B17" s="52">
        <v>0.15</v>
      </c>
      <c r="C17" s="12">
        <v>0.16</v>
      </c>
      <c r="D17" s="12">
        <v>0.18</v>
      </c>
      <c r="E17" s="12">
        <v>0.2</v>
      </c>
      <c r="F17" s="12">
        <v>0.15</v>
      </c>
      <c r="G17" s="12">
        <v>0.16</v>
      </c>
      <c r="H17" s="52">
        <v>0.15</v>
      </c>
      <c r="I17" s="12">
        <v>0.16</v>
      </c>
      <c r="J17" s="12">
        <v>0.18</v>
      </c>
      <c r="K17" s="12">
        <v>0.2</v>
      </c>
      <c r="L17" s="12">
        <v>0.15</v>
      </c>
      <c r="M17" s="12">
        <v>0.16</v>
      </c>
      <c r="N17" s="9">
        <v>35</v>
      </c>
      <c r="O17" s="8">
        <v>60</v>
      </c>
      <c r="P17" s="8">
        <v>80</v>
      </c>
      <c r="Q17" s="8">
        <v>45</v>
      </c>
      <c r="R17" s="8">
        <v>25</v>
      </c>
      <c r="S17" s="8">
        <v>50</v>
      </c>
      <c r="T17" s="9">
        <v>8.8000000000000007</v>
      </c>
      <c r="U17" s="8">
        <v>11.5</v>
      </c>
      <c r="V17" s="8">
        <v>13</v>
      </c>
      <c r="W17" s="8">
        <v>13.4</v>
      </c>
      <c r="X17" s="8">
        <v>8.8000000000000007</v>
      </c>
      <c r="Y17" s="8">
        <v>11.5</v>
      </c>
    </row>
    <row r="18" spans="1:25" ht="18.75" customHeight="1" x14ac:dyDescent="0.35">
      <c r="A18" s="48">
        <v>2035</v>
      </c>
      <c r="B18" s="52">
        <v>0.15</v>
      </c>
      <c r="C18" s="12">
        <v>0.16</v>
      </c>
      <c r="D18" s="12">
        <v>0.18</v>
      </c>
      <c r="E18" s="12">
        <v>0.2</v>
      </c>
      <c r="F18" s="12">
        <v>0.15</v>
      </c>
      <c r="G18" s="12">
        <v>0.16</v>
      </c>
      <c r="H18" s="52">
        <v>0.15</v>
      </c>
      <c r="I18" s="12">
        <v>0.16</v>
      </c>
      <c r="J18" s="12">
        <v>0.18</v>
      </c>
      <c r="K18" s="12">
        <v>0.2</v>
      </c>
      <c r="L18" s="12">
        <v>0.15</v>
      </c>
      <c r="M18" s="12">
        <v>0.16</v>
      </c>
      <c r="N18" s="9">
        <v>35</v>
      </c>
      <c r="O18" s="8">
        <v>60</v>
      </c>
      <c r="P18" s="8">
        <v>80</v>
      </c>
      <c r="Q18" s="8">
        <v>45</v>
      </c>
      <c r="R18" s="8">
        <v>25</v>
      </c>
      <c r="S18" s="8">
        <v>50</v>
      </c>
      <c r="T18" s="9">
        <v>8.8000000000000007</v>
      </c>
      <c r="U18" s="8">
        <v>11.5</v>
      </c>
      <c r="V18" s="8">
        <v>13</v>
      </c>
      <c r="W18" s="8">
        <v>13.4</v>
      </c>
      <c r="X18" s="8">
        <v>8.8000000000000007</v>
      </c>
      <c r="Y18" s="8">
        <v>11.5</v>
      </c>
    </row>
    <row r="19" spans="1:25" ht="18.75" customHeight="1" x14ac:dyDescent="0.35">
      <c r="A19" s="48">
        <v>2036</v>
      </c>
      <c r="B19" s="52">
        <v>0.15</v>
      </c>
      <c r="C19" s="12">
        <v>0.16</v>
      </c>
      <c r="D19" s="12">
        <v>0.18</v>
      </c>
      <c r="E19" s="12">
        <v>0.2</v>
      </c>
      <c r="F19" s="12">
        <v>0.15</v>
      </c>
      <c r="G19" s="12">
        <v>0.16</v>
      </c>
      <c r="H19" s="52">
        <v>0.15</v>
      </c>
      <c r="I19" s="12">
        <v>0.16</v>
      </c>
      <c r="J19" s="12">
        <v>0.18</v>
      </c>
      <c r="K19" s="12">
        <v>0.2</v>
      </c>
      <c r="L19" s="12">
        <v>0.15</v>
      </c>
      <c r="M19" s="12">
        <v>0.16</v>
      </c>
      <c r="N19" s="9">
        <v>35</v>
      </c>
      <c r="O19" s="8">
        <v>60</v>
      </c>
      <c r="P19" s="8">
        <v>80</v>
      </c>
      <c r="Q19" s="8">
        <v>45</v>
      </c>
      <c r="R19" s="8">
        <v>25</v>
      </c>
      <c r="S19" s="8">
        <v>50</v>
      </c>
      <c r="T19" s="9">
        <v>8.8000000000000007</v>
      </c>
      <c r="U19" s="8">
        <v>11.5</v>
      </c>
      <c r="V19" s="8">
        <v>13</v>
      </c>
      <c r="W19" s="8">
        <v>13.4</v>
      </c>
      <c r="X19" s="8">
        <v>8.8000000000000007</v>
      </c>
      <c r="Y19" s="8">
        <v>11.5</v>
      </c>
    </row>
    <row r="20" spans="1:25" ht="18.75" customHeight="1" x14ac:dyDescent="0.35">
      <c r="A20" s="48">
        <v>2037</v>
      </c>
      <c r="B20" s="52">
        <v>0.15</v>
      </c>
      <c r="C20" s="12">
        <v>0.16</v>
      </c>
      <c r="D20" s="12">
        <v>0.18</v>
      </c>
      <c r="E20" s="12">
        <v>0.2</v>
      </c>
      <c r="F20" s="12">
        <v>0.15</v>
      </c>
      <c r="G20" s="12">
        <v>0.16</v>
      </c>
      <c r="H20" s="52">
        <v>0.15</v>
      </c>
      <c r="I20" s="12">
        <v>0.16</v>
      </c>
      <c r="J20" s="12">
        <v>0.18</v>
      </c>
      <c r="K20" s="12">
        <v>0.2</v>
      </c>
      <c r="L20" s="12">
        <v>0.15</v>
      </c>
      <c r="M20" s="12">
        <v>0.16</v>
      </c>
      <c r="N20" s="9">
        <v>35</v>
      </c>
      <c r="O20" s="8">
        <v>60</v>
      </c>
      <c r="P20" s="8">
        <v>80</v>
      </c>
      <c r="Q20" s="8">
        <v>45</v>
      </c>
      <c r="R20" s="8">
        <v>25</v>
      </c>
      <c r="S20" s="8">
        <v>50</v>
      </c>
      <c r="T20" s="9">
        <v>8.8000000000000007</v>
      </c>
      <c r="U20" s="8">
        <v>11.5</v>
      </c>
      <c r="V20" s="8">
        <v>13</v>
      </c>
      <c r="W20" s="8">
        <v>13.4</v>
      </c>
      <c r="X20" s="8">
        <v>8.8000000000000007</v>
      </c>
      <c r="Y20" s="8">
        <v>11.5</v>
      </c>
    </row>
    <row r="21" spans="1:25" ht="18.75" customHeight="1" x14ac:dyDescent="0.35">
      <c r="A21" s="48">
        <v>2038</v>
      </c>
      <c r="B21" s="52">
        <v>0.15</v>
      </c>
      <c r="C21" s="12">
        <v>0.16</v>
      </c>
      <c r="D21" s="12">
        <v>0.18</v>
      </c>
      <c r="E21" s="12">
        <v>0.2</v>
      </c>
      <c r="F21" s="12">
        <v>0.15</v>
      </c>
      <c r="G21" s="12">
        <v>0.16</v>
      </c>
      <c r="H21" s="52">
        <v>0.15</v>
      </c>
      <c r="I21" s="12">
        <v>0.16</v>
      </c>
      <c r="J21" s="12">
        <v>0.18</v>
      </c>
      <c r="K21" s="12">
        <v>0.2</v>
      </c>
      <c r="L21" s="12">
        <v>0.15</v>
      </c>
      <c r="M21" s="12">
        <v>0.16</v>
      </c>
      <c r="N21" s="9">
        <v>35</v>
      </c>
      <c r="O21" s="8">
        <v>60</v>
      </c>
      <c r="P21" s="8">
        <v>80</v>
      </c>
      <c r="Q21" s="8">
        <v>45</v>
      </c>
      <c r="R21" s="8">
        <v>25</v>
      </c>
      <c r="S21" s="8">
        <v>50</v>
      </c>
      <c r="T21" s="9">
        <v>8.8000000000000007</v>
      </c>
      <c r="U21" s="8">
        <v>11.5</v>
      </c>
      <c r="V21" s="8">
        <v>13</v>
      </c>
      <c r="W21" s="8">
        <v>13.4</v>
      </c>
      <c r="X21" s="8">
        <v>8.8000000000000007</v>
      </c>
      <c r="Y21" s="8">
        <v>11.5</v>
      </c>
    </row>
    <row r="22" spans="1:25" ht="18.75" customHeight="1" x14ac:dyDescent="0.35">
      <c r="A22" s="48">
        <v>2039</v>
      </c>
      <c r="B22" s="52">
        <v>0.15</v>
      </c>
      <c r="C22" s="12">
        <v>0.16</v>
      </c>
      <c r="D22" s="12">
        <v>0.18</v>
      </c>
      <c r="E22" s="12">
        <v>0.2</v>
      </c>
      <c r="F22" s="12">
        <v>0.15</v>
      </c>
      <c r="G22" s="12">
        <v>0.16</v>
      </c>
      <c r="H22" s="52">
        <v>0.15</v>
      </c>
      <c r="I22" s="12">
        <v>0.16</v>
      </c>
      <c r="J22" s="12">
        <v>0.18</v>
      </c>
      <c r="K22" s="12">
        <v>0.2</v>
      </c>
      <c r="L22" s="12">
        <v>0.15</v>
      </c>
      <c r="M22" s="12">
        <v>0.16</v>
      </c>
      <c r="N22" s="9">
        <v>35</v>
      </c>
      <c r="O22" s="8">
        <v>60</v>
      </c>
      <c r="P22" s="8">
        <v>80</v>
      </c>
      <c r="Q22" s="8">
        <v>45</v>
      </c>
      <c r="R22" s="8">
        <v>25</v>
      </c>
      <c r="S22" s="8">
        <v>50</v>
      </c>
      <c r="T22" s="9">
        <v>8.8000000000000007</v>
      </c>
      <c r="U22" s="8">
        <v>11.5</v>
      </c>
      <c r="V22" s="8">
        <v>13</v>
      </c>
      <c r="W22" s="8">
        <v>13.4</v>
      </c>
      <c r="X22" s="8">
        <v>8.8000000000000007</v>
      </c>
      <c r="Y22" s="8">
        <v>11.5</v>
      </c>
    </row>
    <row r="23" spans="1:25" ht="18.75" customHeight="1" x14ac:dyDescent="0.35">
      <c r="A23" s="48">
        <v>2040</v>
      </c>
      <c r="B23" s="52">
        <v>0.15</v>
      </c>
      <c r="C23" s="12">
        <v>0.16</v>
      </c>
      <c r="D23" s="12">
        <v>0.18</v>
      </c>
      <c r="E23" s="12">
        <v>0.2</v>
      </c>
      <c r="F23" s="12">
        <v>0.15</v>
      </c>
      <c r="G23" s="12">
        <v>0.16</v>
      </c>
      <c r="H23" s="52">
        <v>0.15</v>
      </c>
      <c r="I23" s="12">
        <v>0.16</v>
      </c>
      <c r="J23" s="12">
        <v>0.18</v>
      </c>
      <c r="K23" s="12">
        <v>0.2</v>
      </c>
      <c r="L23" s="12">
        <v>0.15</v>
      </c>
      <c r="M23" s="12">
        <v>0.16</v>
      </c>
      <c r="N23" s="9">
        <v>35</v>
      </c>
      <c r="O23" s="8">
        <v>60</v>
      </c>
      <c r="P23" s="8">
        <v>80</v>
      </c>
      <c r="Q23" s="8">
        <v>45</v>
      </c>
      <c r="R23" s="8">
        <v>25</v>
      </c>
      <c r="S23" s="8">
        <v>50</v>
      </c>
      <c r="T23" s="9">
        <v>8.8000000000000007</v>
      </c>
      <c r="U23" s="8">
        <v>11.5</v>
      </c>
      <c r="V23" s="8">
        <v>13</v>
      </c>
      <c r="W23" s="8">
        <v>13.4</v>
      </c>
      <c r="X23" s="8">
        <v>8.8000000000000007</v>
      </c>
      <c r="Y23" s="8">
        <v>11.5</v>
      </c>
    </row>
    <row r="24" spans="1:25" ht="18.75" customHeight="1" x14ac:dyDescent="0.35">
      <c r="A24" s="48">
        <v>2041</v>
      </c>
      <c r="B24" s="52">
        <v>0.15</v>
      </c>
      <c r="C24" s="12">
        <v>0.16</v>
      </c>
      <c r="D24" s="12">
        <v>0.18</v>
      </c>
      <c r="E24" s="12">
        <v>0.2</v>
      </c>
      <c r="F24" s="12">
        <v>0.15</v>
      </c>
      <c r="G24" s="12">
        <v>0.16</v>
      </c>
      <c r="H24" s="52">
        <v>0.15</v>
      </c>
      <c r="I24" s="12">
        <v>0.16</v>
      </c>
      <c r="J24" s="12">
        <v>0.18</v>
      </c>
      <c r="K24" s="12">
        <v>0.2</v>
      </c>
      <c r="L24" s="12">
        <v>0.15</v>
      </c>
      <c r="M24" s="12">
        <v>0.16</v>
      </c>
      <c r="N24" s="9">
        <v>35</v>
      </c>
      <c r="O24" s="8">
        <v>60</v>
      </c>
      <c r="P24" s="8">
        <v>80</v>
      </c>
      <c r="Q24" s="8">
        <v>45</v>
      </c>
      <c r="R24" s="8">
        <v>25</v>
      </c>
      <c r="S24" s="8">
        <v>50</v>
      </c>
      <c r="T24" s="9">
        <v>8.8000000000000007</v>
      </c>
      <c r="U24" s="8">
        <v>11.5</v>
      </c>
      <c r="V24" s="8">
        <v>13</v>
      </c>
      <c r="W24" s="8">
        <v>13.4</v>
      </c>
      <c r="X24" s="8">
        <v>8.8000000000000007</v>
      </c>
      <c r="Y24" s="8">
        <v>11.5</v>
      </c>
    </row>
    <row r="25" spans="1:25" ht="18.75" customHeight="1" x14ac:dyDescent="0.35">
      <c r="A25" s="48">
        <v>2042</v>
      </c>
      <c r="B25" s="52">
        <v>0.15</v>
      </c>
      <c r="C25" s="12">
        <v>0.16</v>
      </c>
      <c r="D25" s="12">
        <v>0.18</v>
      </c>
      <c r="E25" s="12">
        <v>0.2</v>
      </c>
      <c r="F25" s="12">
        <v>0.15</v>
      </c>
      <c r="G25" s="12">
        <v>0.16</v>
      </c>
      <c r="H25" s="52">
        <v>0.15</v>
      </c>
      <c r="I25" s="12">
        <v>0.16</v>
      </c>
      <c r="J25" s="12">
        <v>0.18</v>
      </c>
      <c r="K25" s="12">
        <v>0.2</v>
      </c>
      <c r="L25" s="12">
        <v>0.15</v>
      </c>
      <c r="M25" s="12">
        <v>0.16</v>
      </c>
      <c r="N25" s="9">
        <v>35</v>
      </c>
      <c r="O25" s="8">
        <v>60</v>
      </c>
      <c r="P25" s="8">
        <v>80</v>
      </c>
      <c r="Q25" s="8">
        <v>45</v>
      </c>
      <c r="R25" s="8">
        <v>25</v>
      </c>
      <c r="S25" s="8">
        <v>50</v>
      </c>
      <c r="T25" s="9">
        <v>8.8000000000000007</v>
      </c>
      <c r="U25" s="8">
        <v>11.5</v>
      </c>
      <c r="V25" s="8">
        <v>13</v>
      </c>
      <c r="W25" s="8">
        <v>13.4</v>
      </c>
      <c r="X25" s="8">
        <v>8.8000000000000007</v>
      </c>
      <c r="Y25" s="8">
        <v>11.5</v>
      </c>
    </row>
    <row r="26" spans="1:25" ht="18.75" customHeight="1" x14ac:dyDescent="0.35">
      <c r="A26" s="48">
        <v>2043</v>
      </c>
      <c r="B26" s="52">
        <v>0.15</v>
      </c>
      <c r="C26" s="12">
        <v>0.16</v>
      </c>
      <c r="D26" s="12">
        <v>0.18</v>
      </c>
      <c r="E26" s="12">
        <v>0.2</v>
      </c>
      <c r="F26" s="12">
        <v>0.15</v>
      </c>
      <c r="G26" s="12">
        <v>0.16</v>
      </c>
      <c r="H26" s="52">
        <v>0.15</v>
      </c>
      <c r="I26" s="12">
        <v>0.16</v>
      </c>
      <c r="J26" s="12">
        <v>0.18</v>
      </c>
      <c r="K26" s="12">
        <v>0.2</v>
      </c>
      <c r="L26" s="12">
        <v>0.15</v>
      </c>
      <c r="M26" s="12">
        <v>0.16</v>
      </c>
      <c r="N26" s="9">
        <v>35</v>
      </c>
      <c r="O26" s="8">
        <v>60</v>
      </c>
      <c r="P26" s="8">
        <v>80</v>
      </c>
      <c r="Q26" s="8">
        <v>45</v>
      </c>
      <c r="R26" s="8">
        <v>25</v>
      </c>
      <c r="S26" s="8">
        <v>50</v>
      </c>
      <c r="T26" s="9">
        <v>8.8000000000000007</v>
      </c>
      <c r="U26" s="8">
        <v>11.5</v>
      </c>
      <c r="V26" s="8">
        <v>13</v>
      </c>
      <c r="W26" s="8">
        <v>13.4</v>
      </c>
      <c r="X26" s="8">
        <v>8.8000000000000007</v>
      </c>
      <c r="Y26" s="8">
        <v>11.5</v>
      </c>
    </row>
    <row r="27" spans="1:25" ht="18.75" customHeight="1" x14ac:dyDescent="0.35">
      <c r="A27" s="48">
        <v>2044</v>
      </c>
      <c r="B27" s="52">
        <v>0.15</v>
      </c>
      <c r="C27" s="12">
        <v>0.16</v>
      </c>
      <c r="D27" s="12">
        <v>0.18</v>
      </c>
      <c r="E27" s="12">
        <v>0.2</v>
      </c>
      <c r="F27" s="12">
        <v>0.15</v>
      </c>
      <c r="G27" s="12">
        <v>0.16</v>
      </c>
      <c r="H27" s="52">
        <v>0.15</v>
      </c>
      <c r="I27" s="12">
        <v>0.16</v>
      </c>
      <c r="J27" s="12">
        <v>0.18</v>
      </c>
      <c r="K27" s="12">
        <v>0.2</v>
      </c>
      <c r="L27" s="12">
        <v>0.15</v>
      </c>
      <c r="M27" s="12">
        <v>0.16</v>
      </c>
      <c r="N27" s="9">
        <v>35</v>
      </c>
      <c r="O27" s="8">
        <v>60</v>
      </c>
      <c r="P27" s="8">
        <v>80</v>
      </c>
      <c r="Q27" s="8">
        <v>45</v>
      </c>
      <c r="R27" s="8">
        <v>25</v>
      </c>
      <c r="S27" s="8">
        <v>50</v>
      </c>
      <c r="T27" s="9">
        <v>8.8000000000000007</v>
      </c>
      <c r="U27" s="8">
        <v>11.5</v>
      </c>
      <c r="V27" s="8">
        <v>13</v>
      </c>
      <c r="W27" s="8">
        <v>13.4</v>
      </c>
      <c r="X27" s="8">
        <v>8.8000000000000007</v>
      </c>
      <c r="Y27" s="8">
        <v>11.5</v>
      </c>
    </row>
    <row r="28" spans="1:25" ht="18.75" customHeight="1" x14ac:dyDescent="0.35">
      <c r="A28" s="48">
        <v>2045</v>
      </c>
      <c r="B28" s="52">
        <v>0.15</v>
      </c>
      <c r="C28" s="12">
        <v>0.16</v>
      </c>
      <c r="D28" s="12">
        <v>0.18</v>
      </c>
      <c r="E28" s="12">
        <v>0.2</v>
      </c>
      <c r="F28" s="12">
        <v>0.15</v>
      </c>
      <c r="G28" s="12">
        <v>0.16</v>
      </c>
      <c r="H28" s="52">
        <v>0.15</v>
      </c>
      <c r="I28" s="12">
        <v>0.16</v>
      </c>
      <c r="J28" s="12">
        <v>0.18</v>
      </c>
      <c r="K28" s="12">
        <v>0.2</v>
      </c>
      <c r="L28" s="12">
        <v>0.15</v>
      </c>
      <c r="M28" s="12">
        <v>0.16</v>
      </c>
      <c r="N28" s="9">
        <v>35</v>
      </c>
      <c r="O28" s="8">
        <v>60</v>
      </c>
      <c r="P28" s="8">
        <v>80</v>
      </c>
      <c r="Q28" s="8">
        <v>45</v>
      </c>
      <c r="R28" s="8">
        <v>25</v>
      </c>
      <c r="S28" s="8">
        <v>50</v>
      </c>
      <c r="T28" s="9">
        <v>8.8000000000000007</v>
      </c>
      <c r="U28" s="8">
        <v>11.5</v>
      </c>
      <c r="V28" s="8">
        <v>13</v>
      </c>
      <c r="W28" s="8">
        <v>13.4</v>
      </c>
      <c r="X28" s="8">
        <v>8.8000000000000007</v>
      </c>
      <c r="Y28" s="8">
        <v>11.5</v>
      </c>
    </row>
  </sheetData>
  <mergeCells count="2">
    <mergeCell ref="B1:M1"/>
    <mergeCell ref="N1:Y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G28"/>
  <sheetViews>
    <sheetView workbookViewId="0"/>
  </sheetViews>
  <sheetFormatPr defaultRowHeight="14.5" x14ac:dyDescent="0.35"/>
  <cols>
    <col min="1" max="1" width="12.81640625" style="49" bestFit="1" customWidth="1"/>
    <col min="2" max="2" width="9.453125" style="23" bestFit="1" customWidth="1"/>
    <col min="3" max="3" width="9.26953125" style="23" bestFit="1" customWidth="1"/>
    <col min="4" max="4" width="8.7265625" style="23" bestFit="1" customWidth="1"/>
    <col min="5" max="5" width="9.7265625" style="23" bestFit="1" customWidth="1"/>
    <col min="6" max="6" width="10.54296875" style="23" bestFit="1" customWidth="1"/>
    <col min="7" max="7" width="9.7265625" style="23" bestFit="1" customWidth="1"/>
    <col min="8" max="10" width="10.1796875" style="23" bestFit="1" customWidth="1"/>
    <col min="11" max="14" width="9.7265625" style="23" bestFit="1" customWidth="1"/>
    <col min="15" max="15" width="11.453125" style="23" bestFit="1" customWidth="1"/>
    <col min="16" max="33" width="13.54296875" style="23" bestFit="1" customWidth="1"/>
  </cols>
  <sheetData>
    <row r="1" spans="1:33" ht="19.5" customHeight="1" x14ac:dyDescent="0.35">
      <c r="A1" s="47"/>
      <c r="B1" s="86" t="s">
        <v>56</v>
      </c>
      <c r="C1" s="86"/>
      <c r="D1" s="86"/>
      <c r="E1" s="86"/>
      <c r="F1" s="86"/>
      <c r="G1" s="86"/>
      <c r="H1" s="86" t="s">
        <v>57</v>
      </c>
      <c r="I1" s="86"/>
      <c r="J1" s="86"/>
      <c r="K1" s="86"/>
      <c r="L1" s="86"/>
      <c r="M1" s="86"/>
      <c r="N1" s="87" t="s">
        <v>58</v>
      </c>
      <c r="O1" s="86"/>
      <c r="P1" s="86"/>
      <c r="Q1" s="86"/>
      <c r="R1" s="86"/>
      <c r="S1" s="86"/>
      <c r="T1" s="87" t="s">
        <v>59</v>
      </c>
      <c r="U1" s="86"/>
      <c r="V1" s="86"/>
      <c r="W1" s="88"/>
      <c r="X1" s="87" t="s">
        <v>60</v>
      </c>
      <c r="Y1" s="86"/>
      <c r="Z1" s="86"/>
      <c r="AA1" s="88"/>
      <c r="AB1" s="87" t="s">
        <v>61</v>
      </c>
      <c r="AC1" s="86"/>
      <c r="AD1" s="86"/>
      <c r="AE1" s="88"/>
      <c r="AF1" s="87" t="s">
        <v>19</v>
      </c>
      <c r="AG1" s="86"/>
    </row>
    <row r="2" spans="1:33" ht="19.5" customHeight="1" x14ac:dyDescent="0.35">
      <c r="A2" s="3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4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4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  <c r="T2" s="4" t="s">
        <v>69</v>
      </c>
      <c r="U2" s="1" t="s">
        <v>70</v>
      </c>
      <c r="V2" s="1" t="s">
        <v>71</v>
      </c>
      <c r="W2" s="1" t="s">
        <v>72</v>
      </c>
      <c r="X2" s="4" t="s">
        <v>69</v>
      </c>
      <c r="Y2" s="1" t="s">
        <v>70</v>
      </c>
      <c r="Z2" s="1" t="s">
        <v>71</v>
      </c>
      <c r="AA2" s="1" t="s">
        <v>72</v>
      </c>
      <c r="AB2" s="4" t="s">
        <v>69</v>
      </c>
      <c r="AC2" s="1" t="s">
        <v>70</v>
      </c>
      <c r="AD2" s="1" t="s">
        <v>71</v>
      </c>
      <c r="AE2" s="1" t="s">
        <v>72</v>
      </c>
      <c r="AF2" s="4" t="s">
        <v>73</v>
      </c>
      <c r="AG2" s="1" t="s">
        <v>74</v>
      </c>
    </row>
    <row r="3" spans="1:33" ht="18.75" customHeight="1" x14ac:dyDescent="0.35">
      <c r="A3" s="48">
        <v>2020</v>
      </c>
      <c r="B3" s="8">
        <v>0.33841131664853102</v>
      </c>
      <c r="C3" s="8">
        <v>0.26877040261153429</v>
      </c>
      <c r="D3" s="8">
        <v>8.8139281828073998E-2</v>
      </c>
      <c r="E3" s="8">
        <v>7.725788900979326E-2</v>
      </c>
      <c r="F3" s="8">
        <v>0.17192600652883569</v>
      </c>
      <c r="G3" s="8">
        <v>5.5495103373231776E-2</v>
      </c>
      <c r="H3" s="9">
        <v>0.28967600219659528</v>
      </c>
      <c r="I3" s="8">
        <v>0.31356397583745194</v>
      </c>
      <c r="J3" s="8">
        <v>0.14744645799011533</v>
      </c>
      <c r="K3" s="8">
        <v>4.0362438220757822E-2</v>
      </c>
      <c r="L3" s="8">
        <v>0.13838550247116968</v>
      </c>
      <c r="M3" s="8">
        <v>7.0565623283909945E-2</v>
      </c>
      <c r="N3" s="9">
        <v>0.13178158907945398</v>
      </c>
      <c r="O3" s="8">
        <v>0.44592229611480572</v>
      </c>
      <c r="P3" s="8">
        <v>0.27266363318165909</v>
      </c>
      <c r="Q3" s="8">
        <v>1.0675533776688834E-2</v>
      </c>
      <c r="R3" s="8">
        <v>7.1928596429821495E-2</v>
      </c>
      <c r="S3" s="8">
        <v>6.7028351417570881E-2</v>
      </c>
      <c r="T3" s="9">
        <v>0.58983999175109947</v>
      </c>
      <c r="U3" s="8">
        <v>0.10724363486383626</v>
      </c>
      <c r="V3" s="8">
        <v>0.18174982403103859</v>
      </c>
      <c r="W3" s="8">
        <v>0.12116654935402572</v>
      </c>
      <c r="X3" s="9">
        <v>0.57074342558847169</v>
      </c>
      <c r="Y3" s="8">
        <v>9.5003035263138247E-2</v>
      </c>
      <c r="Z3" s="8">
        <v>6.1201352238437631E-2</v>
      </c>
      <c r="AA3" s="8">
        <v>0.27305218690995253</v>
      </c>
      <c r="AB3" s="9">
        <v>0.35939117361093076</v>
      </c>
      <c r="AC3" s="8">
        <v>0.40468430781943149</v>
      </c>
      <c r="AD3" s="8">
        <v>4.469553229496738E-2</v>
      </c>
      <c r="AE3" s="8">
        <v>0.19122898627467061</v>
      </c>
      <c r="AF3" s="9">
        <v>0.8</v>
      </c>
      <c r="AG3" s="8">
        <v>0.2</v>
      </c>
    </row>
    <row r="4" spans="1:33" ht="18.75" customHeight="1" x14ac:dyDescent="0.35">
      <c r="A4" s="48">
        <v>2021</v>
      </c>
      <c r="B4" s="8">
        <v>0.33841131664853102</v>
      </c>
      <c r="C4" s="8">
        <v>0.26877040261153429</v>
      </c>
      <c r="D4" s="8">
        <v>8.8139281828073998E-2</v>
      </c>
      <c r="E4" s="8">
        <v>7.725788900979326E-2</v>
      </c>
      <c r="F4" s="8">
        <v>0.17192600652883569</v>
      </c>
      <c r="G4" s="8">
        <v>5.5495103373231776E-2</v>
      </c>
      <c r="H4" s="9">
        <v>0.28967600219659528</v>
      </c>
      <c r="I4" s="8">
        <v>0.31356397583745194</v>
      </c>
      <c r="J4" s="8">
        <v>0.14744645799011533</v>
      </c>
      <c r="K4" s="8">
        <v>4.0362438220757822E-2</v>
      </c>
      <c r="L4" s="8">
        <v>0.13838550247116968</v>
      </c>
      <c r="M4" s="8">
        <v>7.0565623283909945E-2</v>
      </c>
      <c r="N4" s="9">
        <v>0.13178158907945398</v>
      </c>
      <c r="O4" s="8">
        <v>0.44592229611480572</v>
      </c>
      <c r="P4" s="8">
        <v>0.27266363318165909</v>
      </c>
      <c r="Q4" s="8">
        <v>1.0675533776688834E-2</v>
      </c>
      <c r="R4" s="8">
        <v>7.1928596429821495E-2</v>
      </c>
      <c r="S4" s="8">
        <v>6.7028351417570881E-2</v>
      </c>
      <c r="T4" s="9">
        <v>0.58983999175109947</v>
      </c>
      <c r="U4" s="8">
        <v>0.10724363486383626</v>
      </c>
      <c r="V4" s="8">
        <v>0.18174982403103859</v>
      </c>
      <c r="W4" s="8">
        <v>0.12116654935402572</v>
      </c>
      <c r="X4" s="9">
        <v>0.57074342558847169</v>
      </c>
      <c r="Y4" s="8">
        <v>9.5003035263138247E-2</v>
      </c>
      <c r="Z4" s="8">
        <v>6.1201352238437631E-2</v>
      </c>
      <c r="AA4" s="8">
        <v>0.27305218690995253</v>
      </c>
      <c r="AB4" s="9">
        <v>0.35939117361093076</v>
      </c>
      <c r="AC4" s="8">
        <v>0.40468430781943149</v>
      </c>
      <c r="AD4" s="8">
        <v>4.469553229496738E-2</v>
      </c>
      <c r="AE4" s="8">
        <v>0.19122898627467061</v>
      </c>
      <c r="AF4" s="9">
        <v>0.8</v>
      </c>
      <c r="AG4" s="8">
        <v>0.2</v>
      </c>
    </row>
    <row r="5" spans="1:33" ht="18.75" customHeight="1" x14ac:dyDescent="0.35">
      <c r="A5" s="48">
        <v>2022</v>
      </c>
      <c r="B5" s="8">
        <v>0.33841131664853102</v>
      </c>
      <c r="C5" s="8">
        <v>0.26877040261153429</v>
      </c>
      <c r="D5" s="8">
        <v>8.8139281828073998E-2</v>
      </c>
      <c r="E5" s="8">
        <v>7.725788900979326E-2</v>
      </c>
      <c r="F5" s="8">
        <v>0.17192600652883569</v>
      </c>
      <c r="G5" s="8">
        <v>5.5495103373231776E-2</v>
      </c>
      <c r="H5" s="9">
        <v>0.28967600219659528</v>
      </c>
      <c r="I5" s="8">
        <v>0.31356397583745194</v>
      </c>
      <c r="J5" s="8">
        <v>0.14744645799011533</v>
      </c>
      <c r="K5" s="8">
        <v>4.0362438220757822E-2</v>
      </c>
      <c r="L5" s="8">
        <v>0.13838550247116968</v>
      </c>
      <c r="M5" s="8">
        <v>7.0565623283909945E-2</v>
      </c>
      <c r="N5" s="9">
        <v>0.13178158907945398</v>
      </c>
      <c r="O5" s="8">
        <v>0.44592229611480572</v>
      </c>
      <c r="P5" s="8">
        <v>0.27266363318165909</v>
      </c>
      <c r="Q5" s="8">
        <v>1.0675533776688834E-2</v>
      </c>
      <c r="R5" s="8">
        <v>7.1928596429821495E-2</v>
      </c>
      <c r="S5" s="8">
        <v>6.7028351417570881E-2</v>
      </c>
      <c r="T5" s="9">
        <v>0.58983999175109947</v>
      </c>
      <c r="U5" s="8">
        <v>0.10724363486383626</v>
      </c>
      <c r="V5" s="8">
        <v>0.18174982403103859</v>
      </c>
      <c r="W5" s="8">
        <v>0.12116654935402572</v>
      </c>
      <c r="X5" s="9">
        <v>0.57074342558847169</v>
      </c>
      <c r="Y5" s="8">
        <v>9.5003035263138247E-2</v>
      </c>
      <c r="Z5" s="8">
        <v>6.1201352238437631E-2</v>
      </c>
      <c r="AA5" s="8">
        <v>0.27305218690995253</v>
      </c>
      <c r="AB5" s="9">
        <v>0.35939117361093076</v>
      </c>
      <c r="AC5" s="8">
        <v>0.40468430781943149</v>
      </c>
      <c r="AD5" s="8">
        <v>4.469553229496738E-2</v>
      </c>
      <c r="AE5" s="8">
        <v>0.19122898627467061</v>
      </c>
      <c r="AF5" s="9">
        <v>0.8</v>
      </c>
      <c r="AG5" s="8">
        <v>0.2</v>
      </c>
    </row>
    <row r="6" spans="1:33" ht="18.75" customHeight="1" x14ac:dyDescent="0.35">
      <c r="A6" s="48">
        <v>2023</v>
      </c>
      <c r="B6" s="8">
        <v>0.33841131664853102</v>
      </c>
      <c r="C6" s="8">
        <v>0.26877040261153429</v>
      </c>
      <c r="D6" s="8">
        <v>8.8139281828073998E-2</v>
      </c>
      <c r="E6" s="8">
        <v>7.725788900979326E-2</v>
      </c>
      <c r="F6" s="8">
        <v>0.17192600652883569</v>
      </c>
      <c r="G6" s="8">
        <v>5.5495103373231776E-2</v>
      </c>
      <c r="H6" s="9">
        <v>0.28967600219659528</v>
      </c>
      <c r="I6" s="8">
        <v>0.31356397583745194</v>
      </c>
      <c r="J6" s="8">
        <v>0.14744645799011533</v>
      </c>
      <c r="K6" s="8">
        <v>4.0362438220757822E-2</v>
      </c>
      <c r="L6" s="8">
        <v>0.13838550247116968</v>
      </c>
      <c r="M6" s="8">
        <v>7.0565623283909945E-2</v>
      </c>
      <c r="N6" s="9">
        <v>0.13178158907945398</v>
      </c>
      <c r="O6" s="8">
        <v>0.44592229611480572</v>
      </c>
      <c r="P6" s="8">
        <v>0.27266363318165909</v>
      </c>
      <c r="Q6" s="8">
        <v>1.0675533776688834E-2</v>
      </c>
      <c r="R6" s="8">
        <v>7.1928596429821495E-2</v>
      </c>
      <c r="S6" s="8">
        <v>6.7028351417570881E-2</v>
      </c>
      <c r="T6" s="9">
        <v>0.58983999175109947</v>
      </c>
      <c r="U6" s="8">
        <v>0.10724363486383626</v>
      </c>
      <c r="V6" s="8">
        <v>0.18174982403103859</v>
      </c>
      <c r="W6" s="8">
        <v>0.12116654935402572</v>
      </c>
      <c r="X6" s="9">
        <v>0.57074342558847169</v>
      </c>
      <c r="Y6" s="8">
        <v>9.5003035263138247E-2</v>
      </c>
      <c r="Z6" s="8">
        <v>6.1201352238437631E-2</v>
      </c>
      <c r="AA6" s="8">
        <v>0.27305218690995253</v>
      </c>
      <c r="AB6" s="9">
        <v>0.35939117361093076</v>
      </c>
      <c r="AC6" s="8">
        <v>0.40468430781943149</v>
      </c>
      <c r="AD6" s="8">
        <v>4.469553229496738E-2</v>
      </c>
      <c r="AE6" s="8">
        <v>0.19122898627467061</v>
      </c>
      <c r="AF6" s="9">
        <v>0.8</v>
      </c>
      <c r="AG6" s="8">
        <v>0.2</v>
      </c>
    </row>
    <row r="7" spans="1:33" ht="18.75" customHeight="1" x14ac:dyDescent="0.35">
      <c r="A7" s="48">
        <v>2024</v>
      </c>
      <c r="B7" s="8">
        <v>0.33841131664853102</v>
      </c>
      <c r="C7" s="8">
        <v>0.26877040261153429</v>
      </c>
      <c r="D7" s="8">
        <v>8.8139281828073998E-2</v>
      </c>
      <c r="E7" s="8">
        <v>7.725788900979326E-2</v>
      </c>
      <c r="F7" s="8">
        <v>0.17192600652883569</v>
      </c>
      <c r="G7" s="8">
        <v>5.5495103373231776E-2</v>
      </c>
      <c r="H7" s="9">
        <v>0.28967600219659528</v>
      </c>
      <c r="I7" s="8">
        <v>0.31356397583745194</v>
      </c>
      <c r="J7" s="8">
        <v>0.14744645799011533</v>
      </c>
      <c r="K7" s="8">
        <v>4.0362438220757822E-2</v>
      </c>
      <c r="L7" s="8">
        <v>0.13838550247116968</v>
      </c>
      <c r="M7" s="8">
        <v>7.0565623283909945E-2</v>
      </c>
      <c r="N7" s="9">
        <v>0.13178158907945398</v>
      </c>
      <c r="O7" s="8">
        <v>0.44592229611480572</v>
      </c>
      <c r="P7" s="8">
        <v>0.27266363318165909</v>
      </c>
      <c r="Q7" s="8">
        <v>1.0675533776688834E-2</v>
      </c>
      <c r="R7" s="8">
        <v>7.1928596429821495E-2</v>
      </c>
      <c r="S7" s="8">
        <v>6.7028351417570881E-2</v>
      </c>
      <c r="T7" s="9">
        <v>0.58983999175109947</v>
      </c>
      <c r="U7" s="8">
        <v>0.10724363486383626</v>
      </c>
      <c r="V7" s="8">
        <v>0.18174982403103859</v>
      </c>
      <c r="W7" s="8">
        <v>0.12116654935402572</v>
      </c>
      <c r="X7" s="9">
        <v>0.57074342558847169</v>
      </c>
      <c r="Y7" s="8">
        <v>9.5003035263138247E-2</v>
      </c>
      <c r="Z7" s="8">
        <v>6.1201352238437631E-2</v>
      </c>
      <c r="AA7" s="8">
        <v>0.27305218690995253</v>
      </c>
      <c r="AB7" s="9">
        <v>0.35939117361093076</v>
      </c>
      <c r="AC7" s="8">
        <v>0.40468430781943149</v>
      </c>
      <c r="AD7" s="8">
        <v>4.469553229496738E-2</v>
      </c>
      <c r="AE7" s="8">
        <v>0.19122898627467061</v>
      </c>
      <c r="AF7" s="9">
        <v>0.8</v>
      </c>
      <c r="AG7" s="8">
        <v>0.2</v>
      </c>
    </row>
    <row r="8" spans="1:33" ht="18.75" customHeight="1" x14ac:dyDescent="0.35">
      <c r="A8" s="48">
        <v>2025</v>
      </c>
      <c r="B8" s="8">
        <v>0.33841131664853102</v>
      </c>
      <c r="C8" s="8">
        <v>0.26877040261153429</v>
      </c>
      <c r="D8" s="8">
        <v>8.8139281828073998E-2</v>
      </c>
      <c r="E8" s="8">
        <v>7.725788900979326E-2</v>
      </c>
      <c r="F8" s="8">
        <v>0.17192600652883569</v>
      </c>
      <c r="G8" s="8">
        <v>5.5495103373231776E-2</v>
      </c>
      <c r="H8" s="9">
        <v>0.28967600219659528</v>
      </c>
      <c r="I8" s="8">
        <v>0.31356397583745194</v>
      </c>
      <c r="J8" s="8">
        <v>0.14744645799011533</v>
      </c>
      <c r="K8" s="8">
        <v>4.0362438220757822E-2</v>
      </c>
      <c r="L8" s="8">
        <v>0.13838550247116968</v>
      </c>
      <c r="M8" s="8">
        <v>7.0565623283909945E-2</v>
      </c>
      <c r="N8" s="9">
        <v>0.13178158907945398</v>
      </c>
      <c r="O8" s="8">
        <v>0.44592229611480572</v>
      </c>
      <c r="P8" s="8">
        <v>0.27266363318165909</v>
      </c>
      <c r="Q8" s="8">
        <v>1.0675533776688834E-2</v>
      </c>
      <c r="R8" s="8">
        <v>7.1928596429821495E-2</v>
      </c>
      <c r="S8" s="8">
        <v>6.7028351417570881E-2</v>
      </c>
      <c r="T8" s="9">
        <v>0.58983999175109947</v>
      </c>
      <c r="U8" s="8">
        <v>0.10724363486383626</v>
      </c>
      <c r="V8" s="8">
        <v>0.18174982403103859</v>
      </c>
      <c r="W8" s="8">
        <v>0.12116654935402572</v>
      </c>
      <c r="X8" s="9">
        <v>0.57074342558847169</v>
      </c>
      <c r="Y8" s="8">
        <v>9.5003035263138247E-2</v>
      </c>
      <c r="Z8" s="8">
        <v>6.1201352238437631E-2</v>
      </c>
      <c r="AA8" s="8">
        <v>0.27305218690995253</v>
      </c>
      <c r="AB8" s="9">
        <v>0.35939117361093076</v>
      </c>
      <c r="AC8" s="8">
        <v>0.40468430781943149</v>
      </c>
      <c r="AD8" s="8">
        <v>4.469553229496738E-2</v>
      </c>
      <c r="AE8" s="8">
        <v>0.19122898627467061</v>
      </c>
      <c r="AF8" s="9">
        <v>0.8</v>
      </c>
      <c r="AG8" s="8">
        <v>0.2</v>
      </c>
    </row>
    <row r="9" spans="1:33" ht="18.75" customHeight="1" x14ac:dyDescent="0.35">
      <c r="A9" s="48">
        <v>2026</v>
      </c>
      <c r="B9" s="8">
        <v>0.33841131664853102</v>
      </c>
      <c r="C9" s="8">
        <v>0.26877040261153429</v>
      </c>
      <c r="D9" s="8">
        <v>8.8139281828073998E-2</v>
      </c>
      <c r="E9" s="8">
        <v>7.725788900979326E-2</v>
      </c>
      <c r="F9" s="8">
        <v>0.17192600652883569</v>
      </c>
      <c r="G9" s="8">
        <v>5.5495103373231776E-2</v>
      </c>
      <c r="H9" s="9">
        <v>0.28967600219659528</v>
      </c>
      <c r="I9" s="8">
        <v>0.31356397583745194</v>
      </c>
      <c r="J9" s="8">
        <v>0.14744645799011533</v>
      </c>
      <c r="K9" s="8">
        <v>4.0362438220757822E-2</v>
      </c>
      <c r="L9" s="8">
        <v>0.13838550247116968</v>
      </c>
      <c r="M9" s="8">
        <v>7.0565623283909945E-2</v>
      </c>
      <c r="N9" s="9">
        <v>0.13178158907945398</v>
      </c>
      <c r="O9" s="8">
        <v>0.44592229611480572</v>
      </c>
      <c r="P9" s="8">
        <v>0.27266363318165909</v>
      </c>
      <c r="Q9" s="8">
        <v>1.0675533776688834E-2</v>
      </c>
      <c r="R9" s="8">
        <v>7.1928596429821495E-2</v>
      </c>
      <c r="S9" s="8">
        <v>6.7028351417570881E-2</v>
      </c>
      <c r="T9" s="9">
        <v>0.58983999175109947</v>
      </c>
      <c r="U9" s="8">
        <v>0.10724363486383626</v>
      </c>
      <c r="V9" s="8">
        <v>0.18174982403103859</v>
      </c>
      <c r="W9" s="8">
        <v>0.12116654935402572</v>
      </c>
      <c r="X9" s="9">
        <v>0.57074342558847169</v>
      </c>
      <c r="Y9" s="8">
        <v>9.5003035263138247E-2</v>
      </c>
      <c r="Z9" s="8">
        <v>6.1201352238437631E-2</v>
      </c>
      <c r="AA9" s="8">
        <v>0.27305218690995253</v>
      </c>
      <c r="AB9" s="9">
        <v>0.35939117361093076</v>
      </c>
      <c r="AC9" s="8">
        <v>0.40468430781943149</v>
      </c>
      <c r="AD9" s="8">
        <v>4.469553229496738E-2</v>
      </c>
      <c r="AE9" s="8">
        <v>0.19122898627467061</v>
      </c>
      <c r="AF9" s="9">
        <v>0.8</v>
      </c>
      <c r="AG9" s="8">
        <v>0.2</v>
      </c>
    </row>
    <row r="10" spans="1:33" ht="18.75" customHeight="1" x14ac:dyDescent="0.35">
      <c r="A10" s="48">
        <v>2027</v>
      </c>
      <c r="B10" s="8">
        <v>0.33841131664853102</v>
      </c>
      <c r="C10" s="8">
        <v>0.26877040261153429</v>
      </c>
      <c r="D10" s="8">
        <v>8.8139281828073998E-2</v>
      </c>
      <c r="E10" s="8">
        <v>7.725788900979326E-2</v>
      </c>
      <c r="F10" s="8">
        <v>0.17192600652883569</v>
      </c>
      <c r="G10" s="8">
        <v>5.5495103373231776E-2</v>
      </c>
      <c r="H10" s="9">
        <v>0.28967600219659528</v>
      </c>
      <c r="I10" s="8">
        <v>0.31356397583745194</v>
      </c>
      <c r="J10" s="8">
        <v>0.14744645799011533</v>
      </c>
      <c r="K10" s="8">
        <v>4.0362438220757822E-2</v>
      </c>
      <c r="L10" s="8">
        <v>0.13838550247116968</v>
      </c>
      <c r="M10" s="8">
        <v>7.0565623283909945E-2</v>
      </c>
      <c r="N10" s="9">
        <v>0.13178158907945398</v>
      </c>
      <c r="O10" s="8">
        <v>0.44592229611480572</v>
      </c>
      <c r="P10" s="8">
        <v>0.27266363318165909</v>
      </c>
      <c r="Q10" s="8">
        <v>1.0675533776688834E-2</v>
      </c>
      <c r="R10" s="8">
        <v>7.1928596429821495E-2</v>
      </c>
      <c r="S10" s="8">
        <v>6.7028351417570881E-2</v>
      </c>
      <c r="T10" s="9">
        <v>0.58983999175109947</v>
      </c>
      <c r="U10" s="8">
        <v>0.10724363486383626</v>
      </c>
      <c r="V10" s="8">
        <v>0.18174982403103859</v>
      </c>
      <c r="W10" s="8">
        <v>0.12116654935402572</v>
      </c>
      <c r="X10" s="9">
        <v>0.57074342558847169</v>
      </c>
      <c r="Y10" s="8">
        <v>9.5003035263138247E-2</v>
      </c>
      <c r="Z10" s="8">
        <v>6.1201352238437631E-2</v>
      </c>
      <c r="AA10" s="8">
        <v>0.27305218690995253</v>
      </c>
      <c r="AB10" s="9">
        <v>0.35939117361093076</v>
      </c>
      <c r="AC10" s="8">
        <v>0.40468430781943149</v>
      </c>
      <c r="AD10" s="8">
        <v>4.469553229496738E-2</v>
      </c>
      <c r="AE10" s="8">
        <v>0.19122898627467061</v>
      </c>
      <c r="AF10" s="9">
        <v>0.8</v>
      </c>
      <c r="AG10" s="8">
        <v>0.2</v>
      </c>
    </row>
    <row r="11" spans="1:33" ht="18.75" customHeight="1" x14ac:dyDescent="0.35">
      <c r="A11" s="48">
        <v>2028</v>
      </c>
      <c r="B11" s="8">
        <v>0.33841131664853102</v>
      </c>
      <c r="C11" s="8">
        <v>0.26877040261153429</v>
      </c>
      <c r="D11" s="8">
        <v>8.8139281828073998E-2</v>
      </c>
      <c r="E11" s="8">
        <v>7.725788900979326E-2</v>
      </c>
      <c r="F11" s="8">
        <v>0.17192600652883569</v>
      </c>
      <c r="G11" s="8">
        <v>5.5495103373231776E-2</v>
      </c>
      <c r="H11" s="9">
        <v>0.28967600219659528</v>
      </c>
      <c r="I11" s="8">
        <v>0.31356397583745194</v>
      </c>
      <c r="J11" s="8">
        <v>0.14744645799011533</v>
      </c>
      <c r="K11" s="8">
        <v>4.0362438220757822E-2</v>
      </c>
      <c r="L11" s="8">
        <v>0.13838550247116968</v>
      </c>
      <c r="M11" s="8">
        <v>7.0565623283909945E-2</v>
      </c>
      <c r="N11" s="9">
        <v>0.13178158907945398</v>
      </c>
      <c r="O11" s="8">
        <v>0.44592229611480572</v>
      </c>
      <c r="P11" s="8">
        <v>0.27266363318165909</v>
      </c>
      <c r="Q11" s="8">
        <v>1.0675533776688834E-2</v>
      </c>
      <c r="R11" s="8">
        <v>7.1928596429821495E-2</v>
      </c>
      <c r="S11" s="8">
        <v>6.7028351417570881E-2</v>
      </c>
      <c r="T11" s="9">
        <v>0.58983999175109947</v>
      </c>
      <c r="U11" s="8">
        <v>0.10724363486383626</v>
      </c>
      <c r="V11" s="8">
        <v>0.18174982403103859</v>
      </c>
      <c r="W11" s="8">
        <v>0.12116654935402572</v>
      </c>
      <c r="X11" s="9">
        <v>0.57074342558847169</v>
      </c>
      <c r="Y11" s="8">
        <v>9.5003035263138247E-2</v>
      </c>
      <c r="Z11" s="8">
        <v>6.1201352238437631E-2</v>
      </c>
      <c r="AA11" s="8">
        <v>0.27305218690995253</v>
      </c>
      <c r="AB11" s="9">
        <v>0.35939117361093076</v>
      </c>
      <c r="AC11" s="8">
        <v>0.40468430781943149</v>
      </c>
      <c r="AD11" s="8">
        <v>4.469553229496738E-2</v>
      </c>
      <c r="AE11" s="8">
        <v>0.19122898627467061</v>
      </c>
      <c r="AF11" s="9">
        <v>0.8</v>
      </c>
      <c r="AG11" s="8">
        <v>0.2</v>
      </c>
    </row>
    <row r="12" spans="1:33" ht="18.75" customHeight="1" x14ac:dyDescent="0.35">
      <c r="A12" s="48">
        <v>2029</v>
      </c>
      <c r="B12" s="8">
        <v>0.33841131664853102</v>
      </c>
      <c r="C12" s="8">
        <v>0.26877040261153429</v>
      </c>
      <c r="D12" s="8">
        <v>8.8139281828073998E-2</v>
      </c>
      <c r="E12" s="8">
        <v>7.725788900979326E-2</v>
      </c>
      <c r="F12" s="8">
        <v>0.17192600652883569</v>
      </c>
      <c r="G12" s="8">
        <v>5.5495103373231776E-2</v>
      </c>
      <c r="H12" s="9">
        <v>0.28967600219659528</v>
      </c>
      <c r="I12" s="8">
        <v>0.31356397583745194</v>
      </c>
      <c r="J12" s="8">
        <v>0.14744645799011533</v>
      </c>
      <c r="K12" s="8">
        <v>4.0362438220757822E-2</v>
      </c>
      <c r="L12" s="8">
        <v>0.13838550247116968</v>
      </c>
      <c r="M12" s="8">
        <v>7.0565623283909945E-2</v>
      </c>
      <c r="N12" s="9">
        <v>0.13178158907945398</v>
      </c>
      <c r="O12" s="8">
        <v>0.44592229611480572</v>
      </c>
      <c r="P12" s="8">
        <v>0.27266363318165909</v>
      </c>
      <c r="Q12" s="8">
        <v>1.0675533776688834E-2</v>
      </c>
      <c r="R12" s="8">
        <v>7.1928596429821495E-2</v>
      </c>
      <c r="S12" s="8">
        <v>6.7028351417570881E-2</v>
      </c>
      <c r="T12" s="9">
        <v>0.58983999175109947</v>
      </c>
      <c r="U12" s="8">
        <v>0.10724363486383626</v>
      </c>
      <c r="V12" s="8">
        <v>0.18174982403103859</v>
      </c>
      <c r="W12" s="8">
        <v>0.12116654935402572</v>
      </c>
      <c r="X12" s="9">
        <v>0.57074342558847169</v>
      </c>
      <c r="Y12" s="8">
        <v>9.5003035263138247E-2</v>
      </c>
      <c r="Z12" s="8">
        <v>6.1201352238437631E-2</v>
      </c>
      <c r="AA12" s="8">
        <v>0.27305218690995253</v>
      </c>
      <c r="AB12" s="9">
        <v>0.35939117361093076</v>
      </c>
      <c r="AC12" s="8">
        <v>0.40468430781943149</v>
      </c>
      <c r="AD12" s="8">
        <v>4.469553229496738E-2</v>
      </c>
      <c r="AE12" s="8">
        <v>0.19122898627467061</v>
      </c>
      <c r="AF12" s="9">
        <v>0.8</v>
      </c>
      <c r="AG12" s="8">
        <v>0.2</v>
      </c>
    </row>
    <row r="13" spans="1:33" ht="18.75" customHeight="1" x14ac:dyDescent="0.35">
      <c r="A13" s="48">
        <v>2030</v>
      </c>
      <c r="B13" s="8">
        <v>0.33841131664853102</v>
      </c>
      <c r="C13" s="8">
        <v>0.26877040261153429</v>
      </c>
      <c r="D13" s="8">
        <v>8.8139281828073998E-2</v>
      </c>
      <c r="E13" s="8">
        <v>7.725788900979326E-2</v>
      </c>
      <c r="F13" s="8">
        <v>0.17192600652883569</v>
      </c>
      <c r="G13" s="8">
        <v>5.5495103373231776E-2</v>
      </c>
      <c r="H13" s="9">
        <v>0.28967600219659528</v>
      </c>
      <c r="I13" s="8">
        <v>0.31356397583745194</v>
      </c>
      <c r="J13" s="8">
        <v>0.14744645799011533</v>
      </c>
      <c r="K13" s="8">
        <v>4.0362438220757822E-2</v>
      </c>
      <c r="L13" s="8">
        <v>0.13838550247116968</v>
      </c>
      <c r="M13" s="8">
        <v>7.0565623283909945E-2</v>
      </c>
      <c r="N13" s="9">
        <v>0.13178158907945398</v>
      </c>
      <c r="O13" s="8">
        <v>0.44592229611480572</v>
      </c>
      <c r="P13" s="8">
        <v>0.27266363318165909</v>
      </c>
      <c r="Q13" s="8">
        <v>1.0675533776688834E-2</v>
      </c>
      <c r="R13" s="8">
        <v>7.1928596429821495E-2</v>
      </c>
      <c r="S13" s="8">
        <v>6.7028351417570881E-2</v>
      </c>
      <c r="T13" s="9">
        <v>0.58983999175109947</v>
      </c>
      <c r="U13" s="8">
        <v>0.10724363486383626</v>
      </c>
      <c r="V13" s="8">
        <v>0.18174982403103859</v>
      </c>
      <c r="W13" s="8">
        <v>0.12116654935402572</v>
      </c>
      <c r="X13" s="9">
        <v>0.57074342558847169</v>
      </c>
      <c r="Y13" s="8">
        <v>9.5003035263138247E-2</v>
      </c>
      <c r="Z13" s="8">
        <v>6.1201352238437631E-2</v>
      </c>
      <c r="AA13" s="8">
        <v>0.27305218690995253</v>
      </c>
      <c r="AB13" s="9">
        <v>0.35939117361093076</v>
      </c>
      <c r="AC13" s="8">
        <v>0.40468430781943149</v>
      </c>
      <c r="AD13" s="8">
        <v>4.469553229496738E-2</v>
      </c>
      <c r="AE13" s="8">
        <v>0.19122898627467061</v>
      </c>
      <c r="AF13" s="9">
        <v>0.8</v>
      </c>
      <c r="AG13" s="8">
        <v>0.2</v>
      </c>
    </row>
    <row r="14" spans="1:33" ht="18.75" customHeight="1" x14ac:dyDescent="0.35">
      <c r="A14" s="48">
        <v>2031</v>
      </c>
      <c r="B14" s="8">
        <v>0.33841131664853102</v>
      </c>
      <c r="C14" s="8">
        <v>0.26877040261153429</v>
      </c>
      <c r="D14" s="8">
        <v>8.8139281828073998E-2</v>
      </c>
      <c r="E14" s="8">
        <v>7.725788900979326E-2</v>
      </c>
      <c r="F14" s="8">
        <v>0.17192600652883569</v>
      </c>
      <c r="G14" s="8">
        <v>5.5495103373231776E-2</v>
      </c>
      <c r="H14" s="9">
        <v>0.28967600219659528</v>
      </c>
      <c r="I14" s="8">
        <v>0.31356397583745194</v>
      </c>
      <c r="J14" s="8">
        <v>0.14744645799011533</v>
      </c>
      <c r="K14" s="8">
        <v>4.0362438220757822E-2</v>
      </c>
      <c r="L14" s="8">
        <v>0.13838550247116968</v>
      </c>
      <c r="M14" s="8">
        <v>7.0565623283909945E-2</v>
      </c>
      <c r="N14" s="9">
        <v>0.13178158907945398</v>
      </c>
      <c r="O14" s="8">
        <v>0.44592229611480572</v>
      </c>
      <c r="P14" s="8">
        <v>0.27266363318165909</v>
      </c>
      <c r="Q14" s="8">
        <v>1.0675533776688834E-2</v>
      </c>
      <c r="R14" s="8">
        <v>7.1928596429821495E-2</v>
      </c>
      <c r="S14" s="8">
        <v>6.7028351417570881E-2</v>
      </c>
      <c r="T14" s="9">
        <v>0.58983999175109947</v>
      </c>
      <c r="U14" s="8">
        <v>0.10724363486383626</v>
      </c>
      <c r="V14" s="8">
        <v>0.18174982403103859</v>
      </c>
      <c r="W14" s="8">
        <v>0.12116654935402572</v>
      </c>
      <c r="X14" s="9">
        <v>0.57074342558847169</v>
      </c>
      <c r="Y14" s="8">
        <v>9.5003035263138247E-2</v>
      </c>
      <c r="Z14" s="8">
        <v>6.1201352238437631E-2</v>
      </c>
      <c r="AA14" s="8">
        <v>0.27305218690995253</v>
      </c>
      <c r="AB14" s="9">
        <v>0.35939117361093076</v>
      </c>
      <c r="AC14" s="8">
        <v>0.40468430781943149</v>
      </c>
      <c r="AD14" s="8">
        <v>4.469553229496738E-2</v>
      </c>
      <c r="AE14" s="8">
        <v>0.19122898627467061</v>
      </c>
      <c r="AF14" s="9">
        <v>0.8</v>
      </c>
      <c r="AG14" s="8">
        <v>0.2</v>
      </c>
    </row>
    <row r="15" spans="1:33" ht="18.75" customHeight="1" x14ac:dyDescent="0.35">
      <c r="A15" s="48">
        <v>2032</v>
      </c>
      <c r="B15" s="8">
        <v>0.33841131664853102</v>
      </c>
      <c r="C15" s="8">
        <v>0.26877040261153429</v>
      </c>
      <c r="D15" s="8">
        <v>8.8139281828073998E-2</v>
      </c>
      <c r="E15" s="8">
        <v>7.725788900979326E-2</v>
      </c>
      <c r="F15" s="8">
        <v>0.17192600652883569</v>
      </c>
      <c r="G15" s="8">
        <v>5.5495103373231776E-2</v>
      </c>
      <c r="H15" s="9">
        <v>0.28967600219659528</v>
      </c>
      <c r="I15" s="8">
        <v>0.31356397583745194</v>
      </c>
      <c r="J15" s="8">
        <v>0.14744645799011533</v>
      </c>
      <c r="K15" s="8">
        <v>4.0362438220757822E-2</v>
      </c>
      <c r="L15" s="8">
        <v>0.13838550247116968</v>
      </c>
      <c r="M15" s="8">
        <v>7.0565623283909945E-2</v>
      </c>
      <c r="N15" s="9">
        <v>0.13178158907945398</v>
      </c>
      <c r="O15" s="8">
        <v>0.44592229611480572</v>
      </c>
      <c r="P15" s="8">
        <v>0.27266363318165909</v>
      </c>
      <c r="Q15" s="8">
        <v>1.0675533776688834E-2</v>
      </c>
      <c r="R15" s="8">
        <v>7.1928596429821495E-2</v>
      </c>
      <c r="S15" s="8">
        <v>6.7028351417570881E-2</v>
      </c>
      <c r="T15" s="9">
        <v>0.58983999175109947</v>
      </c>
      <c r="U15" s="8">
        <v>0.10724363486383626</v>
      </c>
      <c r="V15" s="8">
        <v>0.18174982403103859</v>
      </c>
      <c r="W15" s="8">
        <v>0.12116654935402572</v>
      </c>
      <c r="X15" s="9">
        <v>0.57074342558847169</v>
      </c>
      <c r="Y15" s="8">
        <v>9.5003035263138247E-2</v>
      </c>
      <c r="Z15" s="8">
        <v>6.1201352238437631E-2</v>
      </c>
      <c r="AA15" s="8">
        <v>0.27305218690995253</v>
      </c>
      <c r="AB15" s="9">
        <v>0.35939117361093076</v>
      </c>
      <c r="AC15" s="8">
        <v>0.40468430781943149</v>
      </c>
      <c r="AD15" s="8">
        <v>4.469553229496738E-2</v>
      </c>
      <c r="AE15" s="8">
        <v>0.19122898627467061</v>
      </c>
      <c r="AF15" s="9">
        <v>0.8</v>
      </c>
      <c r="AG15" s="8">
        <v>0.2</v>
      </c>
    </row>
    <row r="16" spans="1:33" ht="18.75" customHeight="1" x14ac:dyDescent="0.35">
      <c r="A16" s="48">
        <v>2033</v>
      </c>
      <c r="B16" s="8">
        <v>0.33841131664853102</v>
      </c>
      <c r="C16" s="8">
        <v>0.26877040261153429</v>
      </c>
      <c r="D16" s="8">
        <v>8.8139281828073998E-2</v>
      </c>
      <c r="E16" s="8">
        <v>7.725788900979326E-2</v>
      </c>
      <c r="F16" s="8">
        <v>0.17192600652883569</v>
      </c>
      <c r="G16" s="8">
        <v>5.5495103373231776E-2</v>
      </c>
      <c r="H16" s="9">
        <v>0.28967600219659528</v>
      </c>
      <c r="I16" s="8">
        <v>0.31356397583745194</v>
      </c>
      <c r="J16" s="8">
        <v>0.14744645799011533</v>
      </c>
      <c r="K16" s="8">
        <v>4.0362438220757822E-2</v>
      </c>
      <c r="L16" s="8">
        <v>0.13838550247116968</v>
      </c>
      <c r="M16" s="8">
        <v>7.0565623283909945E-2</v>
      </c>
      <c r="N16" s="9">
        <v>0.13178158907945398</v>
      </c>
      <c r="O16" s="8">
        <v>0.44592229611480572</v>
      </c>
      <c r="P16" s="8">
        <v>0.27266363318165909</v>
      </c>
      <c r="Q16" s="8">
        <v>1.0675533776688834E-2</v>
      </c>
      <c r="R16" s="8">
        <v>7.1928596429821495E-2</v>
      </c>
      <c r="S16" s="8">
        <v>6.7028351417570881E-2</v>
      </c>
      <c r="T16" s="9">
        <v>0.58983999175109947</v>
      </c>
      <c r="U16" s="8">
        <v>0.10724363486383626</v>
      </c>
      <c r="V16" s="8">
        <v>0.18174982403103859</v>
      </c>
      <c r="W16" s="8">
        <v>0.12116654935402572</v>
      </c>
      <c r="X16" s="9">
        <v>0.57074342558847169</v>
      </c>
      <c r="Y16" s="8">
        <v>9.5003035263138247E-2</v>
      </c>
      <c r="Z16" s="8">
        <v>6.1201352238437631E-2</v>
      </c>
      <c r="AA16" s="8">
        <v>0.27305218690995253</v>
      </c>
      <c r="AB16" s="9">
        <v>0.35939117361093076</v>
      </c>
      <c r="AC16" s="8">
        <v>0.40468430781943149</v>
      </c>
      <c r="AD16" s="8">
        <v>4.469553229496738E-2</v>
      </c>
      <c r="AE16" s="8">
        <v>0.19122898627467061</v>
      </c>
      <c r="AF16" s="9">
        <v>0.8</v>
      </c>
      <c r="AG16" s="8">
        <v>0.2</v>
      </c>
    </row>
    <row r="17" spans="1:33" ht="18.75" customHeight="1" x14ac:dyDescent="0.35">
      <c r="A17" s="48">
        <v>2034</v>
      </c>
      <c r="B17" s="8">
        <v>0.33841131664853102</v>
      </c>
      <c r="C17" s="8">
        <v>0.26877040261153429</v>
      </c>
      <c r="D17" s="8">
        <v>8.8139281828073998E-2</v>
      </c>
      <c r="E17" s="8">
        <v>7.725788900979326E-2</v>
      </c>
      <c r="F17" s="8">
        <v>0.17192600652883569</v>
      </c>
      <c r="G17" s="8">
        <v>5.5495103373231776E-2</v>
      </c>
      <c r="H17" s="9">
        <v>0.28967600219659528</v>
      </c>
      <c r="I17" s="8">
        <v>0.31356397583745194</v>
      </c>
      <c r="J17" s="8">
        <v>0.14744645799011533</v>
      </c>
      <c r="K17" s="8">
        <v>4.0362438220757822E-2</v>
      </c>
      <c r="L17" s="8">
        <v>0.13838550247116968</v>
      </c>
      <c r="M17" s="8">
        <v>7.0565623283909945E-2</v>
      </c>
      <c r="N17" s="9">
        <v>0.13178158907945398</v>
      </c>
      <c r="O17" s="8">
        <v>0.44592229611480572</v>
      </c>
      <c r="P17" s="8">
        <v>0.27266363318165909</v>
      </c>
      <c r="Q17" s="8">
        <v>1.0675533776688834E-2</v>
      </c>
      <c r="R17" s="8">
        <v>7.1928596429821495E-2</v>
      </c>
      <c r="S17" s="8">
        <v>6.7028351417570881E-2</v>
      </c>
      <c r="T17" s="9">
        <v>0.58983999175109947</v>
      </c>
      <c r="U17" s="8">
        <v>0.10724363486383626</v>
      </c>
      <c r="V17" s="8">
        <v>0.18174982403103859</v>
      </c>
      <c r="W17" s="8">
        <v>0.12116654935402572</v>
      </c>
      <c r="X17" s="9">
        <v>0.57074342558847169</v>
      </c>
      <c r="Y17" s="8">
        <v>9.5003035263138247E-2</v>
      </c>
      <c r="Z17" s="8">
        <v>6.1201352238437631E-2</v>
      </c>
      <c r="AA17" s="8">
        <v>0.27305218690995253</v>
      </c>
      <c r="AB17" s="9">
        <v>0.35939117361093076</v>
      </c>
      <c r="AC17" s="8">
        <v>0.40468430781943149</v>
      </c>
      <c r="AD17" s="8">
        <v>4.469553229496738E-2</v>
      </c>
      <c r="AE17" s="8">
        <v>0.19122898627467061</v>
      </c>
      <c r="AF17" s="9">
        <v>0.8</v>
      </c>
      <c r="AG17" s="8">
        <v>0.2</v>
      </c>
    </row>
    <row r="18" spans="1:33" ht="18.75" customHeight="1" x14ac:dyDescent="0.35">
      <c r="A18" s="48">
        <v>2035</v>
      </c>
      <c r="B18" s="8">
        <v>0.33841131664853102</v>
      </c>
      <c r="C18" s="8">
        <v>0.26877040261153429</v>
      </c>
      <c r="D18" s="8">
        <v>8.8139281828073998E-2</v>
      </c>
      <c r="E18" s="8">
        <v>7.725788900979326E-2</v>
      </c>
      <c r="F18" s="8">
        <v>0.17192600652883569</v>
      </c>
      <c r="G18" s="8">
        <v>5.5495103373231776E-2</v>
      </c>
      <c r="H18" s="9">
        <v>0.28967600219659528</v>
      </c>
      <c r="I18" s="8">
        <v>0.31356397583745194</v>
      </c>
      <c r="J18" s="8">
        <v>0.14744645799011533</v>
      </c>
      <c r="K18" s="8">
        <v>4.0362438220757822E-2</v>
      </c>
      <c r="L18" s="8">
        <v>0.13838550247116968</v>
      </c>
      <c r="M18" s="8">
        <v>7.0565623283909945E-2</v>
      </c>
      <c r="N18" s="9">
        <v>0.13178158907945398</v>
      </c>
      <c r="O18" s="8">
        <v>0.44592229611480572</v>
      </c>
      <c r="P18" s="8">
        <v>0.27266363318165909</v>
      </c>
      <c r="Q18" s="8">
        <v>1.0675533776688834E-2</v>
      </c>
      <c r="R18" s="8">
        <v>7.1928596429821495E-2</v>
      </c>
      <c r="S18" s="8">
        <v>6.7028351417570881E-2</v>
      </c>
      <c r="T18" s="9">
        <v>0.58983999175109947</v>
      </c>
      <c r="U18" s="8">
        <v>0.10724363486383626</v>
      </c>
      <c r="V18" s="8">
        <v>0.18174982403103859</v>
      </c>
      <c r="W18" s="8">
        <v>0.12116654935402572</v>
      </c>
      <c r="X18" s="9">
        <v>0.57074342558847169</v>
      </c>
      <c r="Y18" s="8">
        <v>9.5003035263138247E-2</v>
      </c>
      <c r="Z18" s="8">
        <v>6.1201352238437631E-2</v>
      </c>
      <c r="AA18" s="8">
        <v>0.27305218690995253</v>
      </c>
      <c r="AB18" s="9">
        <v>0.35939117361093076</v>
      </c>
      <c r="AC18" s="8">
        <v>0.40468430781943149</v>
      </c>
      <c r="AD18" s="8">
        <v>4.469553229496738E-2</v>
      </c>
      <c r="AE18" s="8">
        <v>0.19122898627467061</v>
      </c>
      <c r="AF18" s="9">
        <v>0.8</v>
      </c>
      <c r="AG18" s="8">
        <v>0.2</v>
      </c>
    </row>
    <row r="19" spans="1:33" ht="18.75" customHeight="1" x14ac:dyDescent="0.35">
      <c r="A19" s="48">
        <v>2036</v>
      </c>
      <c r="B19" s="8">
        <v>0.33841131664853102</v>
      </c>
      <c r="C19" s="8">
        <v>0.26877040261153429</v>
      </c>
      <c r="D19" s="8">
        <v>8.8139281828073998E-2</v>
      </c>
      <c r="E19" s="8">
        <v>7.725788900979326E-2</v>
      </c>
      <c r="F19" s="8">
        <v>0.17192600652883569</v>
      </c>
      <c r="G19" s="8">
        <v>5.5495103373231776E-2</v>
      </c>
      <c r="H19" s="9">
        <v>0.28967600219659528</v>
      </c>
      <c r="I19" s="8">
        <v>0.31356397583745194</v>
      </c>
      <c r="J19" s="8">
        <v>0.14744645799011533</v>
      </c>
      <c r="K19" s="8">
        <v>4.0362438220757822E-2</v>
      </c>
      <c r="L19" s="8">
        <v>0.13838550247116968</v>
      </c>
      <c r="M19" s="8">
        <v>7.0565623283909945E-2</v>
      </c>
      <c r="N19" s="9">
        <v>0.13178158907945398</v>
      </c>
      <c r="O19" s="8">
        <v>0.44592229611480572</v>
      </c>
      <c r="P19" s="8">
        <v>0.27266363318165909</v>
      </c>
      <c r="Q19" s="8">
        <v>1.0675533776688834E-2</v>
      </c>
      <c r="R19" s="8">
        <v>7.1928596429821495E-2</v>
      </c>
      <c r="S19" s="8">
        <v>6.7028351417570881E-2</v>
      </c>
      <c r="T19" s="9">
        <v>0.58983999175109947</v>
      </c>
      <c r="U19" s="8">
        <v>0.10724363486383626</v>
      </c>
      <c r="V19" s="8">
        <v>0.18174982403103859</v>
      </c>
      <c r="W19" s="8">
        <v>0.12116654935402572</v>
      </c>
      <c r="X19" s="9">
        <v>0.57074342558847169</v>
      </c>
      <c r="Y19" s="8">
        <v>9.5003035263138247E-2</v>
      </c>
      <c r="Z19" s="8">
        <v>6.1201352238437631E-2</v>
      </c>
      <c r="AA19" s="8">
        <v>0.27305218690995253</v>
      </c>
      <c r="AB19" s="9">
        <v>0.35939117361093076</v>
      </c>
      <c r="AC19" s="8">
        <v>0.40468430781943149</v>
      </c>
      <c r="AD19" s="8">
        <v>4.469553229496738E-2</v>
      </c>
      <c r="AE19" s="8">
        <v>0.19122898627467061</v>
      </c>
      <c r="AF19" s="9">
        <v>0.8</v>
      </c>
      <c r="AG19" s="8">
        <v>0.2</v>
      </c>
    </row>
    <row r="20" spans="1:33" ht="18.75" customHeight="1" x14ac:dyDescent="0.35">
      <c r="A20" s="48">
        <v>2037</v>
      </c>
      <c r="B20" s="8">
        <v>0.33841131664853102</v>
      </c>
      <c r="C20" s="8">
        <v>0.26877040261153429</v>
      </c>
      <c r="D20" s="8">
        <v>8.8139281828073998E-2</v>
      </c>
      <c r="E20" s="8">
        <v>7.725788900979326E-2</v>
      </c>
      <c r="F20" s="8">
        <v>0.17192600652883569</v>
      </c>
      <c r="G20" s="8">
        <v>5.5495103373231776E-2</v>
      </c>
      <c r="H20" s="9">
        <v>0.28967600219659528</v>
      </c>
      <c r="I20" s="8">
        <v>0.31356397583745194</v>
      </c>
      <c r="J20" s="8">
        <v>0.14744645799011533</v>
      </c>
      <c r="K20" s="8">
        <v>4.0362438220757822E-2</v>
      </c>
      <c r="L20" s="8">
        <v>0.13838550247116968</v>
      </c>
      <c r="M20" s="8">
        <v>7.0565623283909945E-2</v>
      </c>
      <c r="N20" s="9">
        <v>0.13178158907945398</v>
      </c>
      <c r="O20" s="8">
        <v>0.44592229611480572</v>
      </c>
      <c r="P20" s="8">
        <v>0.27266363318165909</v>
      </c>
      <c r="Q20" s="8">
        <v>1.0675533776688834E-2</v>
      </c>
      <c r="R20" s="8">
        <v>7.1928596429821495E-2</v>
      </c>
      <c r="S20" s="8">
        <v>6.7028351417570881E-2</v>
      </c>
      <c r="T20" s="9">
        <v>0.58983999175109947</v>
      </c>
      <c r="U20" s="8">
        <v>0.10724363486383626</v>
      </c>
      <c r="V20" s="8">
        <v>0.18174982403103859</v>
      </c>
      <c r="W20" s="8">
        <v>0.12116654935402572</v>
      </c>
      <c r="X20" s="9">
        <v>0.57074342558847169</v>
      </c>
      <c r="Y20" s="8">
        <v>9.5003035263138247E-2</v>
      </c>
      <c r="Z20" s="8">
        <v>6.1201352238437631E-2</v>
      </c>
      <c r="AA20" s="8">
        <v>0.27305218690995253</v>
      </c>
      <c r="AB20" s="9">
        <v>0.35939117361093076</v>
      </c>
      <c r="AC20" s="8">
        <v>0.40468430781943149</v>
      </c>
      <c r="AD20" s="8">
        <v>4.469553229496738E-2</v>
      </c>
      <c r="AE20" s="8">
        <v>0.19122898627467061</v>
      </c>
      <c r="AF20" s="9">
        <v>0.8</v>
      </c>
      <c r="AG20" s="8">
        <v>0.2</v>
      </c>
    </row>
    <row r="21" spans="1:33" ht="18.75" customHeight="1" x14ac:dyDescent="0.35">
      <c r="A21" s="48">
        <v>2038</v>
      </c>
      <c r="B21" s="8">
        <v>0.33841131664853102</v>
      </c>
      <c r="C21" s="8">
        <v>0.26877040261153429</v>
      </c>
      <c r="D21" s="8">
        <v>8.8139281828073998E-2</v>
      </c>
      <c r="E21" s="8">
        <v>7.725788900979326E-2</v>
      </c>
      <c r="F21" s="8">
        <v>0.17192600652883569</v>
      </c>
      <c r="G21" s="8">
        <v>5.5495103373231776E-2</v>
      </c>
      <c r="H21" s="9">
        <v>0.28967600219659528</v>
      </c>
      <c r="I21" s="8">
        <v>0.31356397583745194</v>
      </c>
      <c r="J21" s="8">
        <v>0.14744645799011533</v>
      </c>
      <c r="K21" s="8">
        <v>4.0362438220757822E-2</v>
      </c>
      <c r="L21" s="8">
        <v>0.13838550247116968</v>
      </c>
      <c r="M21" s="8">
        <v>7.0565623283909945E-2</v>
      </c>
      <c r="N21" s="9">
        <v>0.13178158907945398</v>
      </c>
      <c r="O21" s="8">
        <v>0.44592229611480572</v>
      </c>
      <c r="P21" s="8">
        <v>0.27266363318165909</v>
      </c>
      <c r="Q21" s="8">
        <v>1.0675533776688834E-2</v>
      </c>
      <c r="R21" s="8">
        <v>7.1928596429821495E-2</v>
      </c>
      <c r="S21" s="8">
        <v>6.7028351417570881E-2</v>
      </c>
      <c r="T21" s="9">
        <v>0.58983999175109947</v>
      </c>
      <c r="U21" s="8">
        <v>0.10724363486383626</v>
      </c>
      <c r="V21" s="8">
        <v>0.18174982403103859</v>
      </c>
      <c r="W21" s="8">
        <v>0.12116654935402572</v>
      </c>
      <c r="X21" s="9">
        <v>0.57074342558847169</v>
      </c>
      <c r="Y21" s="8">
        <v>9.5003035263138247E-2</v>
      </c>
      <c r="Z21" s="8">
        <v>6.1201352238437631E-2</v>
      </c>
      <c r="AA21" s="8">
        <v>0.27305218690995253</v>
      </c>
      <c r="AB21" s="9">
        <v>0.35939117361093076</v>
      </c>
      <c r="AC21" s="8">
        <v>0.40468430781943149</v>
      </c>
      <c r="AD21" s="8">
        <v>4.469553229496738E-2</v>
      </c>
      <c r="AE21" s="8">
        <v>0.19122898627467061</v>
      </c>
      <c r="AF21" s="9">
        <v>0.8</v>
      </c>
      <c r="AG21" s="8">
        <v>0.2</v>
      </c>
    </row>
    <row r="22" spans="1:33" ht="18.75" customHeight="1" x14ac:dyDescent="0.35">
      <c r="A22" s="48">
        <v>2039</v>
      </c>
      <c r="B22" s="8">
        <v>0.33841131664853102</v>
      </c>
      <c r="C22" s="8">
        <v>0.26877040261153429</v>
      </c>
      <c r="D22" s="8">
        <v>8.8139281828073998E-2</v>
      </c>
      <c r="E22" s="8">
        <v>7.725788900979326E-2</v>
      </c>
      <c r="F22" s="8">
        <v>0.17192600652883569</v>
      </c>
      <c r="G22" s="8">
        <v>5.5495103373231776E-2</v>
      </c>
      <c r="H22" s="9">
        <v>0.28967600219659528</v>
      </c>
      <c r="I22" s="8">
        <v>0.31356397583745194</v>
      </c>
      <c r="J22" s="8">
        <v>0.14744645799011533</v>
      </c>
      <c r="K22" s="8">
        <v>4.0362438220757822E-2</v>
      </c>
      <c r="L22" s="8">
        <v>0.13838550247116968</v>
      </c>
      <c r="M22" s="8">
        <v>7.0565623283909945E-2</v>
      </c>
      <c r="N22" s="9">
        <v>0.13178158907945398</v>
      </c>
      <c r="O22" s="8">
        <v>0.44592229611480572</v>
      </c>
      <c r="P22" s="8">
        <v>0.27266363318165909</v>
      </c>
      <c r="Q22" s="8">
        <v>1.0675533776688834E-2</v>
      </c>
      <c r="R22" s="8">
        <v>7.1928596429821495E-2</v>
      </c>
      <c r="S22" s="8">
        <v>6.7028351417570881E-2</v>
      </c>
      <c r="T22" s="9">
        <v>0.58983999175109947</v>
      </c>
      <c r="U22" s="8">
        <v>0.10724363486383626</v>
      </c>
      <c r="V22" s="8">
        <v>0.18174982403103859</v>
      </c>
      <c r="W22" s="8">
        <v>0.12116654935402572</v>
      </c>
      <c r="X22" s="9">
        <v>0.57074342558847169</v>
      </c>
      <c r="Y22" s="8">
        <v>9.5003035263138247E-2</v>
      </c>
      <c r="Z22" s="8">
        <v>6.1201352238437631E-2</v>
      </c>
      <c r="AA22" s="8">
        <v>0.27305218690995253</v>
      </c>
      <c r="AB22" s="9">
        <v>0.35939117361093076</v>
      </c>
      <c r="AC22" s="8">
        <v>0.40468430781943149</v>
      </c>
      <c r="AD22" s="8">
        <v>4.469553229496738E-2</v>
      </c>
      <c r="AE22" s="8">
        <v>0.19122898627467061</v>
      </c>
      <c r="AF22" s="9">
        <v>0.8</v>
      </c>
      <c r="AG22" s="8">
        <v>0.2</v>
      </c>
    </row>
    <row r="23" spans="1:33" ht="18.75" customHeight="1" x14ac:dyDescent="0.35">
      <c r="A23" s="48">
        <v>2040</v>
      </c>
      <c r="B23" s="8">
        <v>0.33841131664853102</v>
      </c>
      <c r="C23" s="8">
        <v>0.26877040261153429</v>
      </c>
      <c r="D23" s="8">
        <v>8.8139281828073998E-2</v>
      </c>
      <c r="E23" s="8">
        <v>7.725788900979326E-2</v>
      </c>
      <c r="F23" s="8">
        <v>0.17192600652883569</v>
      </c>
      <c r="G23" s="8">
        <v>5.5495103373231776E-2</v>
      </c>
      <c r="H23" s="9">
        <v>0.28967600219659528</v>
      </c>
      <c r="I23" s="8">
        <v>0.31356397583745194</v>
      </c>
      <c r="J23" s="8">
        <v>0.14744645799011533</v>
      </c>
      <c r="K23" s="8">
        <v>4.0362438220757822E-2</v>
      </c>
      <c r="L23" s="8">
        <v>0.13838550247116968</v>
      </c>
      <c r="M23" s="8">
        <v>7.0565623283909945E-2</v>
      </c>
      <c r="N23" s="9">
        <v>0.13178158907945398</v>
      </c>
      <c r="O23" s="8">
        <v>0.44592229611480572</v>
      </c>
      <c r="P23" s="8">
        <v>0.27266363318165909</v>
      </c>
      <c r="Q23" s="8">
        <v>1.0675533776688834E-2</v>
      </c>
      <c r="R23" s="8">
        <v>7.1928596429821495E-2</v>
      </c>
      <c r="S23" s="8">
        <v>6.7028351417570881E-2</v>
      </c>
      <c r="T23" s="9">
        <v>0.58983999175109947</v>
      </c>
      <c r="U23" s="8">
        <v>0.10724363486383626</v>
      </c>
      <c r="V23" s="8">
        <v>0.18174982403103859</v>
      </c>
      <c r="W23" s="8">
        <v>0.12116654935402572</v>
      </c>
      <c r="X23" s="9">
        <v>0.57074342558847169</v>
      </c>
      <c r="Y23" s="8">
        <v>9.5003035263138247E-2</v>
      </c>
      <c r="Z23" s="8">
        <v>6.1201352238437631E-2</v>
      </c>
      <c r="AA23" s="8">
        <v>0.27305218690995253</v>
      </c>
      <c r="AB23" s="9">
        <v>0.35939117361093076</v>
      </c>
      <c r="AC23" s="8">
        <v>0.40468430781943149</v>
      </c>
      <c r="AD23" s="8">
        <v>4.469553229496738E-2</v>
      </c>
      <c r="AE23" s="8">
        <v>0.19122898627467061</v>
      </c>
      <c r="AF23" s="9">
        <v>0.8</v>
      </c>
      <c r="AG23" s="8">
        <v>0.2</v>
      </c>
    </row>
    <row r="24" spans="1:33" ht="18.75" customHeight="1" x14ac:dyDescent="0.35">
      <c r="A24" s="48">
        <v>2041</v>
      </c>
      <c r="B24" s="8">
        <v>0.33841131664853102</v>
      </c>
      <c r="C24" s="8">
        <v>0.26877040261153429</v>
      </c>
      <c r="D24" s="8">
        <v>8.8139281828073998E-2</v>
      </c>
      <c r="E24" s="8">
        <v>7.725788900979326E-2</v>
      </c>
      <c r="F24" s="8">
        <v>0.17192600652883569</v>
      </c>
      <c r="G24" s="8">
        <v>5.5495103373231776E-2</v>
      </c>
      <c r="H24" s="9">
        <v>0.28967600219659528</v>
      </c>
      <c r="I24" s="8">
        <v>0.31356397583745194</v>
      </c>
      <c r="J24" s="8">
        <v>0.14744645799011533</v>
      </c>
      <c r="K24" s="8">
        <v>4.0362438220757822E-2</v>
      </c>
      <c r="L24" s="8">
        <v>0.13838550247116968</v>
      </c>
      <c r="M24" s="8">
        <v>7.0565623283909945E-2</v>
      </c>
      <c r="N24" s="9">
        <v>0.13178158907945398</v>
      </c>
      <c r="O24" s="8">
        <v>0.44592229611480572</v>
      </c>
      <c r="P24" s="8">
        <v>0.27266363318165909</v>
      </c>
      <c r="Q24" s="8">
        <v>1.0675533776688834E-2</v>
      </c>
      <c r="R24" s="8">
        <v>7.1928596429821495E-2</v>
      </c>
      <c r="S24" s="8">
        <v>6.7028351417570881E-2</v>
      </c>
      <c r="T24" s="9">
        <v>0.58983999175109947</v>
      </c>
      <c r="U24" s="8">
        <v>0.10724363486383626</v>
      </c>
      <c r="V24" s="8">
        <v>0.18174982403103859</v>
      </c>
      <c r="W24" s="8">
        <v>0.12116654935402572</v>
      </c>
      <c r="X24" s="9">
        <v>0.57074342558847169</v>
      </c>
      <c r="Y24" s="8">
        <v>9.5003035263138247E-2</v>
      </c>
      <c r="Z24" s="8">
        <v>6.1201352238437631E-2</v>
      </c>
      <c r="AA24" s="8">
        <v>0.27305218690995253</v>
      </c>
      <c r="AB24" s="9">
        <v>0.35939117361093076</v>
      </c>
      <c r="AC24" s="8">
        <v>0.40468430781943149</v>
      </c>
      <c r="AD24" s="8">
        <v>4.469553229496738E-2</v>
      </c>
      <c r="AE24" s="8">
        <v>0.19122898627467061</v>
      </c>
      <c r="AF24" s="9">
        <v>0.8</v>
      </c>
      <c r="AG24" s="8">
        <v>0.2</v>
      </c>
    </row>
    <row r="25" spans="1:33" ht="18.75" customHeight="1" x14ac:dyDescent="0.35">
      <c r="A25" s="48">
        <v>2042</v>
      </c>
      <c r="B25" s="8">
        <v>0.33841131664853102</v>
      </c>
      <c r="C25" s="8">
        <v>0.26877040261153429</v>
      </c>
      <c r="D25" s="8">
        <v>8.8139281828073998E-2</v>
      </c>
      <c r="E25" s="8">
        <v>7.725788900979326E-2</v>
      </c>
      <c r="F25" s="8">
        <v>0.17192600652883569</v>
      </c>
      <c r="G25" s="8">
        <v>5.5495103373231776E-2</v>
      </c>
      <c r="H25" s="9">
        <v>0.28967600219659528</v>
      </c>
      <c r="I25" s="8">
        <v>0.31356397583745194</v>
      </c>
      <c r="J25" s="8">
        <v>0.14744645799011533</v>
      </c>
      <c r="K25" s="8">
        <v>4.0362438220757822E-2</v>
      </c>
      <c r="L25" s="8">
        <v>0.13838550247116968</v>
      </c>
      <c r="M25" s="8">
        <v>7.0565623283909945E-2</v>
      </c>
      <c r="N25" s="9">
        <v>0.13178158907945398</v>
      </c>
      <c r="O25" s="8">
        <v>0.44592229611480572</v>
      </c>
      <c r="P25" s="8">
        <v>0.27266363318165909</v>
      </c>
      <c r="Q25" s="8">
        <v>1.0675533776688834E-2</v>
      </c>
      <c r="R25" s="8">
        <v>7.1928596429821495E-2</v>
      </c>
      <c r="S25" s="8">
        <v>6.7028351417570881E-2</v>
      </c>
      <c r="T25" s="9">
        <v>0.58983999175109947</v>
      </c>
      <c r="U25" s="8">
        <v>0.10724363486383626</v>
      </c>
      <c r="V25" s="8">
        <v>0.18174982403103859</v>
      </c>
      <c r="W25" s="8">
        <v>0.12116654935402572</v>
      </c>
      <c r="X25" s="9">
        <v>0.57074342558847169</v>
      </c>
      <c r="Y25" s="8">
        <v>9.5003035263138247E-2</v>
      </c>
      <c r="Z25" s="8">
        <v>6.1201352238437631E-2</v>
      </c>
      <c r="AA25" s="8">
        <v>0.27305218690995253</v>
      </c>
      <c r="AB25" s="9">
        <v>0.35939117361093076</v>
      </c>
      <c r="AC25" s="8">
        <v>0.40468430781943149</v>
      </c>
      <c r="AD25" s="8">
        <v>4.469553229496738E-2</v>
      </c>
      <c r="AE25" s="8">
        <v>0.19122898627467061</v>
      </c>
      <c r="AF25" s="9">
        <v>0.8</v>
      </c>
      <c r="AG25" s="8">
        <v>0.2</v>
      </c>
    </row>
    <row r="26" spans="1:33" ht="18.75" customHeight="1" x14ac:dyDescent="0.35">
      <c r="A26" s="48">
        <v>2043</v>
      </c>
      <c r="B26" s="8">
        <v>0.33841131664853102</v>
      </c>
      <c r="C26" s="8">
        <v>0.26877040261153429</v>
      </c>
      <c r="D26" s="8">
        <v>8.8139281828073998E-2</v>
      </c>
      <c r="E26" s="8">
        <v>7.725788900979326E-2</v>
      </c>
      <c r="F26" s="8">
        <v>0.17192600652883569</v>
      </c>
      <c r="G26" s="8">
        <v>5.5495103373231776E-2</v>
      </c>
      <c r="H26" s="9">
        <v>0.28967600219659528</v>
      </c>
      <c r="I26" s="8">
        <v>0.31356397583745194</v>
      </c>
      <c r="J26" s="8">
        <v>0.14744645799011533</v>
      </c>
      <c r="K26" s="8">
        <v>4.0362438220757822E-2</v>
      </c>
      <c r="L26" s="8">
        <v>0.13838550247116968</v>
      </c>
      <c r="M26" s="8">
        <v>7.0565623283909945E-2</v>
      </c>
      <c r="N26" s="9">
        <v>0.13178158907945398</v>
      </c>
      <c r="O26" s="8">
        <v>0.44592229611480572</v>
      </c>
      <c r="P26" s="8">
        <v>0.27266363318165909</v>
      </c>
      <c r="Q26" s="8">
        <v>1.0675533776688834E-2</v>
      </c>
      <c r="R26" s="8">
        <v>7.1928596429821495E-2</v>
      </c>
      <c r="S26" s="8">
        <v>6.7028351417570881E-2</v>
      </c>
      <c r="T26" s="9">
        <v>0.58983999175109947</v>
      </c>
      <c r="U26" s="8">
        <v>0.10724363486383626</v>
      </c>
      <c r="V26" s="8">
        <v>0.18174982403103859</v>
      </c>
      <c r="W26" s="8">
        <v>0.12116654935402572</v>
      </c>
      <c r="X26" s="9">
        <v>0.57074342558847169</v>
      </c>
      <c r="Y26" s="8">
        <v>9.5003035263138247E-2</v>
      </c>
      <c r="Z26" s="8">
        <v>6.1201352238437631E-2</v>
      </c>
      <c r="AA26" s="8">
        <v>0.27305218690995253</v>
      </c>
      <c r="AB26" s="9">
        <v>0.35939117361093076</v>
      </c>
      <c r="AC26" s="8">
        <v>0.40468430781943149</v>
      </c>
      <c r="AD26" s="8">
        <v>4.469553229496738E-2</v>
      </c>
      <c r="AE26" s="8">
        <v>0.19122898627467061</v>
      </c>
      <c r="AF26" s="9">
        <v>0.8</v>
      </c>
      <c r="AG26" s="8">
        <v>0.2</v>
      </c>
    </row>
    <row r="27" spans="1:33" ht="18.75" customHeight="1" x14ac:dyDescent="0.35">
      <c r="A27" s="48">
        <v>2044</v>
      </c>
      <c r="B27" s="8">
        <v>0.33841131664853102</v>
      </c>
      <c r="C27" s="8">
        <v>0.26877040261153429</v>
      </c>
      <c r="D27" s="8">
        <v>8.8139281828073998E-2</v>
      </c>
      <c r="E27" s="8">
        <v>7.725788900979326E-2</v>
      </c>
      <c r="F27" s="8">
        <v>0.17192600652883569</v>
      </c>
      <c r="G27" s="8">
        <v>5.5495103373231776E-2</v>
      </c>
      <c r="H27" s="9">
        <v>0.28967600219659528</v>
      </c>
      <c r="I27" s="8">
        <v>0.31356397583745194</v>
      </c>
      <c r="J27" s="8">
        <v>0.14744645799011533</v>
      </c>
      <c r="K27" s="8">
        <v>4.0362438220757822E-2</v>
      </c>
      <c r="L27" s="8">
        <v>0.13838550247116968</v>
      </c>
      <c r="M27" s="8">
        <v>7.0565623283909945E-2</v>
      </c>
      <c r="N27" s="9">
        <v>0.13178158907945398</v>
      </c>
      <c r="O27" s="8">
        <v>0.44592229611480572</v>
      </c>
      <c r="P27" s="8">
        <v>0.27266363318165909</v>
      </c>
      <c r="Q27" s="8">
        <v>1.0675533776688834E-2</v>
      </c>
      <c r="R27" s="8">
        <v>7.1928596429821495E-2</v>
      </c>
      <c r="S27" s="8">
        <v>6.7028351417570881E-2</v>
      </c>
      <c r="T27" s="9">
        <v>0.58983999175109947</v>
      </c>
      <c r="U27" s="8">
        <v>0.10724363486383626</v>
      </c>
      <c r="V27" s="8">
        <v>0.18174982403103859</v>
      </c>
      <c r="W27" s="8">
        <v>0.12116654935402572</v>
      </c>
      <c r="X27" s="9">
        <v>0.57074342558847169</v>
      </c>
      <c r="Y27" s="8">
        <v>9.5003035263138247E-2</v>
      </c>
      <c r="Z27" s="8">
        <v>6.1201352238437631E-2</v>
      </c>
      <c r="AA27" s="8">
        <v>0.27305218690995253</v>
      </c>
      <c r="AB27" s="9">
        <v>0.35939117361093076</v>
      </c>
      <c r="AC27" s="8">
        <v>0.40468430781943149</v>
      </c>
      <c r="AD27" s="8">
        <v>4.469553229496738E-2</v>
      </c>
      <c r="AE27" s="8">
        <v>0.19122898627467061</v>
      </c>
      <c r="AF27" s="9">
        <v>0.8</v>
      </c>
      <c r="AG27" s="8">
        <v>0.2</v>
      </c>
    </row>
    <row r="28" spans="1:33" ht="18.75" customHeight="1" x14ac:dyDescent="0.35">
      <c r="A28" s="48">
        <v>2045</v>
      </c>
      <c r="B28" s="8">
        <v>0.33841131664853102</v>
      </c>
      <c r="C28" s="8">
        <v>0.26877040261153429</v>
      </c>
      <c r="D28" s="8">
        <v>8.8139281828073998E-2</v>
      </c>
      <c r="E28" s="8">
        <v>7.725788900979326E-2</v>
      </c>
      <c r="F28" s="8">
        <v>0.17192600652883569</v>
      </c>
      <c r="G28" s="8">
        <v>5.5495103373231776E-2</v>
      </c>
      <c r="H28" s="9">
        <v>0.28967600219659528</v>
      </c>
      <c r="I28" s="8">
        <v>0.31356397583745194</v>
      </c>
      <c r="J28" s="8">
        <v>0.14744645799011533</v>
      </c>
      <c r="K28" s="8">
        <v>4.0362438220757822E-2</v>
      </c>
      <c r="L28" s="8">
        <v>0.13838550247116968</v>
      </c>
      <c r="M28" s="8">
        <v>7.0565623283909945E-2</v>
      </c>
      <c r="N28" s="9">
        <v>0.13178158907945398</v>
      </c>
      <c r="O28" s="8">
        <v>0.44592229611480572</v>
      </c>
      <c r="P28" s="8">
        <v>0.27266363318165909</v>
      </c>
      <c r="Q28" s="8">
        <v>1.0675533776688834E-2</v>
      </c>
      <c r="R28" s="8">
        <v>7.1928596429821495E-2</v>
      </c>
      <c r="S28" s="8">
        <v>6.7028351417570881E-2</v>
      </c>
      <c r="T28" s="9">
        <v>0.58983999175109947</v>
      </c>
      <c r="U28" s="8">
        <v>0.10724363486383626</v>
      </c>
      <c r="V28" s="8">
        <v>0.18174982403103859</v>
      </c>
      <c r="W28" s="8">
        <v>0.12116654935402572</v>
      </c>
      <c r="X28" s="9">
        <v>0.57074342558847169</v>
      </c>
      <c r="Y28" s="8">
        <v>9.5003035263138247E-2</v>
      </c>
      <c r="Z28" s="8">
        <v>6.1201352238437631E-2</v>
      </c>
      <c r="AA28" s="8">
        <v>0.27305218690995253</v>
      </c>
      <c r="AB28" s="9">
        <v>0.35939117361093076</v>
      </c>
      <c r="AC28" s="8">
        <v>0.40468430781943149</v>
      </c>
      <c r="AD28" s="8">
        <v>4.469553229496738E-2</v>
      </c>
      <c r="AE28" s="8">
        <v>0.19122898627467061</v>
      </c>
      <c r="AF28" s="9">
        <v>0.8</v>
      </c>
      <c r="AG28" s="8">
        <v>0.2</v>
      </c>
    </row>
  </sheetData>
  <mergeCells count="7">
    <mergeCell ref="AB1:AE1"/>
    <mergeCell ref="AF1:AG1"/>
    <mergeCell ref="B1:G1"/>
    <mergeCell ref="H1:M1"/>
    <mergeCell ref="N1:S1"/>
    <mergeCell ref="T1:W1"/>
    <mergeCell ref="X1:AA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M10"/>
  <sheetViews>
    <sheetView workbookViewId="0"/>
  </sheetViews>
  <sheetFormatPr defaultRowHeight="14.5" x14ac:dyDescent="0.35"/>
  <cols>
    <col min="1" max="1" width="20.54296875" style="26" bestFit="1" customWidth="1"/>
    <col min="2" max="2" width="12.1796875" style="35" bestFit="1" customWidth="1"/>
    <col min="3" max="4" width="13.54296875" style="35" bestFit="1" customWidth="1"/>
    <col min="5" max="5" width="11.453125" style="35" bestFit="1" customWidth="1"/>
    <col min="6" max="6" width="12.26953125" style="35" bestFit="1" customWidth="1"/>
    <col min="7" max="7" width="13.54296875" style="35" bestFit="1" customWidth="1"/>
    <col min="8" max="9" width="11.453125" style="35" bestFit="1" customWidth="1"/>
    <col min="10" max="12" width="13.54296875" style="35" bestFit="1" customWidth="1"/>
    <col min="13" max="13" width="13.54296875" style="25" bestFit="1" customWidth="1"/>
  </cols>
  <sheetData>
    <row r="1" spans="1:13" ht="18.75" customHeight="1" x14ac:dyDescent="0.35">
      <c r="A1" s="31" t="s">
        <v>53</v>
      </c>
      <c r="B1" s="27">
        <v>0</v>
      </c>
      <c r="C1" s="27">
        <v>0.1</v>
      </c>
      <c r="D1" s="27">
        <v>0.2</v>
      </c>
      <c r="E1" s="27">
        <v>0.3</v>
      </c>
      <c r="F1" s="27">
        <v>0.4</v>
      </c>
      <c r="G1" s="27">
        <v>0.5</v>
      </c>
      <c r="H1" s="27">
        <v>0.6</v>
      </c>
      <c r="I1" s="27">
        <v>0.7</v>
      </c>
      <c r="J1" s="27">
        <v>0.8</v>
      </c>
      <c r="K1" s="27">
        <v>0.9</v>
      </c>
      <c r="L1" s="27">
        <v>1</v>
      </c>
      <c r="M1" s="5"/>
    </row>
    <row r="2" spans="1:13" ht="18.75" customHeight="1" x14ac:dyDescent="0.35">
      <c r="A2" s="43">
        <v>11</v>
      </c>
      <c r="B2" s="33">
        <v>0.95</v>
      </c>
      <c r="C2" s="33">
        <v>0.95</v>
      </c>
      <c r="D2" s="33">
        <v>0.95</v>
      </c>
      <c r="E2" s="33">
        <v>0.95</v>
      </c>
      <c r="F2" s="33">
        <v>0.95</v>
      </c>
      <c r="G2" s="33">
        <v>0.95</v>
      </c>
      <c r="H2" s="33">
        <v>0.95</v>
      </c>
      <c r="I2" s="33">
        <v>0.95</v>
      </c>
      <c r="J2" s="33">
        <v>0.95</v>
      </c>
      <c r="K2" s="33">
        <v>0.95</v>
      </c>
      <c r="L2" s="33">
        <v>0.95</v>
      </c>
      <c r="M2" s="5"/>
    </row>
    <row r="3" spans="1:13" ht="18.75" customHeight="1" x14ac:dyDescent="0.35">
      <c r="A3" s="43">
        <v>22</v>
      </c>
      <c r="B3" s="33">
        <v>0.95</v>
      </c>
      <c r="C3" s="33">
        <v>0.95</v>
      </c>
      <c r="D3" s="33">
        <v>0.95</v>
      </c>
      <c r="E3" s="33">
        <v>0.95</v>
      </c>
      <c r="F3" s="33">
        <v>0.95</v>
      </c>
      <c r="G3" s="33">
        <v>0.95</v>
      </c>
      <c r="H3" s="33">
        <v>0.95</v>
      </c>
      <c r="I3" s="33">
        <v>0.95</v>
      </c>
      <c r="J3" s="33">
        <v>0.95</v>
      </c>
      <c r="K3" s="33">
        <v>0.95</v>
      </c>
      <c r="L3" s="33">
        <v>0.95</v>
      </c>
      <c r="M3" s="5"/>
    </row>
    <row r="4" spans="1:13" ht="18.75" customHeight="1" x14ac:dyDescent="0.35">
      <c r="A4" s="43">
        <v>150</v>
      </c>
      <c r="B4" s="33">
        <v>0.95</v>
      </c>
      <c r="C4" s="33">
        <v>0.95</v>
      </c>
      <c r="D4" s="33">
        <v>0.95</v>
      </c>
      <c r="E4" s="33">
        <v>0.95</v>
      </c>
      <c r="F4" s="33">
        <v>0.95</v>
      </c>
      <c r="G4" s="33">
        <v>0.95</v>
      </c>
      <c r="H4" s="33">
        <v>0.95</v>
      </c>
      <c r="I4" s="33">
        <v>0.95</v>
      </c>
      <c r="J4" s="33">
        <v>0.95</v>
      </c>
      <c r="K4" s="33">
        <v>0.95</v>
      </c>
      <c r="L4" s="33">
        <v>0.95</v>
      </c>
      <c r="M4" s="5" t="s">
        <v>54</v>
      </c>
    </row>
    <row r="5" spans="1:13" ht="18.75" customHeight="1" x14ac:dyDescent="0.35">
      <c r="A5" s="44">
        <v>350</v>
      </c>
      <c r="B5" s="33">
        <v>0.95</v>
      </c>
      <c r="C5" s="33">
        <v>0.95</v>
      </c>
      <c r="D5" s="33">
        <v>0.95</v>
      </c>
      <c r="E5" s="33">
        <v>0.95</v>
      </c>
      <c r="F5" s="33">
        <v>0.95</v>
      </c>
      <c r="G5" s="33">
        <v>0.95</v>
      </c>
      <c r="H5" s="33">
        <v>0.95</v>
      </c>
      <c r="I5" s="33">
        <v>0.95</v>
      </c>
      <c r="J5" s="33">
        <v>0.95</v>
      </c>
      <c r="K5" s="33">
        <v>0.95</v>
      </c>
      <c r="L5" s="33">
        <v>0.95</v>
      </c>
      <c r="M5" s="5"/>
    </row>
    <row r="6" spans="1:13" ht="18.75" customHeight="1" x14ac:dyDescent="0.35">
      <c r="A6" s="45" t="s">
        <v>55</v>
      </c>
      <c r="B6" s="46">
        <v>0</v>
      </c>
      <c r="C6" s="46">
        <v>0</v>
      </c>
      <c r="D6" s="46">
        <v>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5"/>
    </row>
    <row r="7" spans="1:13" ht="18.75" customHeight="1" x14ac:dyDescent="0.35">
      <c r="A7" s="19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5"/>
    </row>
    <row r="8" spans="1:13" ht="18.75" customHeight="1" x14ac:dyDescent="0.35">
      <c r="A8" s="19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5"/>
    </row>
    <row r="9" spans="1:13" ht="18.75" customHeight="1" x14ac:dyDescent="0.35">
      <c r="A9" s="19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5"/>
    </row>
    <row r="10" spans="1:13" ht="18.75" customHeight="1" x14ac:dyDescent="0.35">
      <c r="A10" s="19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L9"/>
  <sheetViews>
    <sheetView workbookViewId="0"/>
  </sheetViews>
  <sheetFormatPr defaultRowHeight="14.5" x14ac:dyDescent="0.35"/>
  <cols>
    <col min="1" max="1" width="20.54296875" style="26" bestFit="1" customWidth="1"/>
    <col min="2" max="2" width="12.1796875" style="35" bestFit="1" customWidth="1"/>
    <col min="3" max="4" width="13.54296875" style="35" bestFit="1" customWidth="1"/>
    <col min="5" max="5" width="11.453125" style="35" bestFit="1" customWidth="1"/>
    <col min="6" max="6" width="12.26953125" style="35" bestFit="1" customWidth="1"/>
    <col min="7" max="7" width="13.54296875" style="35" bestFit="1" customWidth="1"/>
    <col min="8" max="9" width="11.453125" style="35" bestFit="1" customWidth="1"/>
    <col min="10" max="12" width="13.54296875" style="35" bestFit="1" customWidth="1"/>
  </cols>
  <sheetData>
    <row r="1" spans="1:12" ht="18.75" customHeight="1" x14ac:dyDescent="0.35">
      <c r="A1" s="31" t="s">
        <v>52</v>
      </c>
      <c r="B1" s="27">
        <v>0</v>
      </c>
      <c r="C1" s="27">
        <v>0.1</v>
      </c>
      <c r="D1" s="27">
        <v>0.2</v>
      </c>
      <c r="E1" s="27">
        <v>0.3</v>
      </c>
      <c r="F1" s="27">
        <v>0.4</v>
      </c>
      <c r="G1" s="27">
        <v>0.5</v>
      </c>
      <c r="H1" s="27">
        <v>0.6</v>
      </c>
      <c r="I1" s="27">
        <v>0.7</v>
      </c>
      <c r="J1" s="27">
        <v>0.8</v>
      </c>
      <c r="K1" s="27">
        <v>0.9</v>
      </c>
      <c r="L1" s="27">
        <v>1</v>
      </c>
    </row>
    <row r="2" spans="1:12" ht="18.75" customHeight="1" x14ac:dyDescent="0.35">
      <c r="A2" s="43">
        <v>11</v>
      </c>
      <c r="B2" s="8">
        <f t="shared" ref="B2:L3" si="0">$A2*1</f>
        <v>11</v>
      </c>
      <c r="C2" s="8">
        <f t="shared" si="0"/>
        <v>11</v>
      </c>
      <c r="D2" s="8">
        <f t="shared" si="0"/>
        <v>11</v>
      </c>
      <c r="E2" s="8">
        <f t="shared" si="0"/>
        <v>11</v>
      </c>
      <c r="F2" s="8">
        <f t="shared" si="0"/>
        <v>11</v>
      </c>
      <c r="G2" s="8">
        <f t="shared" si="0"/>
        <v>11</v>
      </c>
      <c r="H2" s="8">
        <f t="shared" si="0"/>
        <v>11</v>
      </c>
      <c r="I2" s="8">
        <f t="shared" si="0"/>
        <v>11</v>
      </c>
      <c r="J2" s="8">
        <f t="shared" si="0"/>
        <v>11</v>
      </c>
      <c r="K2" s="8">
        <f t="shared" si="0"/>
        <v>11</v>
      </c>
      <c r="L2" s="8">
        <f t="shared" si="0"/>
        <v>11</v>
      </c>
    </row>
    <row r="3" spans="1:12" ht="18.75" customHeight="1" x14ac:dyDescent="0.35">
      <c r="A3" s="43">
        <v>22</v>
      </c>
      <c r="B3" s="8">
        <f t="shared" si="0"/>
        <v>22</v>
      </c>
      <c r="C3" s="8">
        <f t="shared" si="0"/>
        <v>22</v>
      </c>
      <c r="D3" s="8">
        <f t="shared" si="0"/>
        <v>22</v>
      </c>
      <c r="E3" s="8">
        <f t="shared" si="0"/>
        <v>22</v>
      </c>
      <c r="F3" s="8">
        <f t="shared" si="0"/>
        <v>22</v>
      </c>
      <c r="G3" s="8">
        <f t="shared" si="0"/>
        <v>22</v>
      </c>
      <c r="H3" s="8">
        <f t="shared" si="0"/>
        <v>22</v>
      </c>
      <c r="I3" s="8">
        <f t="shared" si="0"/>
        <v>22</v>
      </c>
      <c r="J3" s="8">
        <f t="shared" si="0"/>
        <v>22</v>
      </c>
      <c r="K3" s="8">
        <f t="shared" si="0"/>
        <v>22</v>
      </c>
      <c r="L3" s="8">
        <f t="shared" si="0"/>
        <v>22</v>
      </c>
    </row>
    <row r="4" spans="1:12" ht="18.75" customHeight="1" x14ac:dyDescent="0.35">
      <c r="A4" s="43">
        <v>150</v>
      </c>
      <c r="B4" s="8">
        <f t="shared" ref="B4:H5" si="1">$A4*1</f>
        <v>150</v>
      </c>
      <c r="C4" s="8">
        <f t="shared" si="1"/>
        <v>150</v>
      </c>
      <c r="D4" s="8">
        <f t="shared" si="1"/>
        <v>150</v>
      </c>
      <c r="E4" s="8">
        <f t="shared" si="1"/>
        <v>150</v>
      </c>
      <c r="F4" s="8">
        <f t="shared" si="1"/>
        <v>150</v>
      </c>
      <c r="G4" s="8">
        <f t="shared" si="1"/>
        <v>150</v>
      </c>
      <c r="H4" s="8">
        <f t="shared" si="1"/>
        <v>150</v>
      </c>
      <c r="I4" s="8">
        <f>$A4*0.9</f>
        <v>135</v>
      </c>
      <c r="J4" s="8">
        <f>$A4*0.8</f>
        <v>120</v>
      </c>
      <c r="K4" s="8">
        <f>$A4*0.6</f>
        <v>90</v>
      </c>
      <c r="L4" s="8">
        <f>$A4*0.6</f>
        <v>90</v>
      </c>
    </row>
    <row r="5" spans="1:12" ht="18.75" customHeight="1" x14ac:dyDescent="0.35">
      <c r="A5" s="43">
        <v>350</v>
      </c>
      <c r="B5" s="8">
        <f t="shared" si="1"/>
        <v>350</v>
      </c>
      <c r="C5" s="8">
        <f t="shared" si="1"/>
        <v>350</v>
      </c>
      <c r="D5" s="8">
        <f t="shared" si="1"/>
        <v>350</v>
      </c>
      <c r="E5" s="8">
        <f t="shared" si="1"/>
        <v>350</v>
      </c>
      <c r="F5" s="8">
        <f t="shared" si="1"/>
        <v>350</v>
      </c>
      <c r="G5" s="8">
        <f t="shared" si="1"/>
        <v>350</v>
      </c>
      <c r="H5" s="8">
        <f t="shared" si="1"/>
        <v>350</v>
      </c>
      <c r="I5" s="8">
        <f>$A5*0.9</f>
        <v>315</v>
      </c>
      <c r="J5" s="8">
        <f>$A5*0.8</f>
        <v>280</v>
      </c>
      <c r="K5" s="8">
        <f>$A5*0.6</f>
        <v>210</v>
      </c>
      <c r="L5" s="8">
        <f>$A5*0.6</f>
        <v>210</v>
      </c>
    </row>
    <row r="6" spans="1:12" ht="18.75" customHeight="1" x14ac:dyDescent="0.35">
      <c r="A6" s="19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18.75" customHeight="1" x14ac:dyDescent="0.35">
      <c r="A7" s="19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18.75" customHeight="1" x14ac:dyDescent="0.35">
      <c r="A8" s="19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ht="18.75" customHeight="1" x14ac:dyDescent="0.35">
      <c r="A9" s="19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J5"/>
  <sheetViews>
    <sheetView tabSelected="1" workbookViewId="0">
      <selection activeCell="C5" sqref="C5"/>
    </sheetView>
  </sheetViews>
  <sheetFormatPr defaultRowHeight="14.5" x14ac:dyDescent="0.35"/>
  <cols>
    <col min="1" max="1" width="20.54296875" style="29" bestFit="1" customWidth="1"/>
    <col min="2" max="2" width="12.1796875" style="35" bestFit="1" customWidth="1"/>
    <col min="3" max="5" width="11.453125" style="35" bestFit="1" customWidth="1"/>
    <col min="6" max="6" width="11.453125" style="42" bestFit="1" customWidth="1"/>
    <col min="7" max="7" width="14.453125" style="25" bestFit="1" customWidth="1"/>
    <col min="8" max="8" width="11.453125" style="24" bestFit="1" customWidth="1"/>
    <col min="9" max="9" width="11.453125" style="25" bestFit="1" customWidth="1"/>
    <col min="10" max="10" width="13.54296875" style="25" bestFit="1" customWidth="1"/>
  </cols>
  <sheetData>
    <row r="1" spans="1:10" ht="19.5" customHeight="1" x14ac:dyDescent="0.35">
      <c r="A1" s="6" t="s">
        <v>37</v>
      </c>
      <c r="B1" s="27" t="s">
        <v>33</v>
      </c>
      <c r="C1" s="27" t="s">
        <v>34</v>
      </c>
      <c r="D1" s="27" t="s">
        <v>35</v>
      </c>
      <c r="E1" s="27" t="s">
        <v>36</v>
      </c>
      <c r="F1" s="36"/>
      <c r="G1" s="5"/>
      <c r="H1" s="37"/>
      <c r="I1" s="5"/>
      <c r="J1" s="5"/>
    </row>
    <row r="2" spans="1:10" ht="19.5" customHeight="1" x14ac:dyDescent="0.35">
      <c r="A2" s="11" t="s">
        <v>38</v>
      </c>
      <c r="B2" s="33">
        <v>1</v>
      </c>
      <c r="C2" s="33">
        <v>0</v>
      </c>
      <c r="D2" s="33">
        <v>0</v>
      </c>
      <c r="E2" s="33">
        <v>0</v>
      </c>
      <c r="F2" s="38">
        <f>SUM(B2:E2)</f>
        <v>1</v>
      </c>
      <c r="G2" s="5" t="s">
        <v>39</v>
      </c>
      <c r="H2" s="33"/>
      <c r="I2" s="5" t="s">
        <v>40</v>
      </c>
      <c r="J2" s="5" t="s">
        <v>41</v>
      </c>
    </row>
    <row r="3" spans="1:10" ht="19.5" customHeight="1" x14ac:dyDescent="0.35">
      <c r="A3" s="11" t="s">
        <v>42</v>
      </c>
      <c r="B3" s="33">
        <v>0.6</v>
      </c>
      <c r="C3" s="33">
        <v>0</v>
      </c>
      <c r="D3" s="33">
        <v>0</v>
      </c>
      <c r="E3" s="33">
        <v>0.4</v>
      </c>
      <c r="F3" s="38">
        <f>SUM(B3:E3)</f>
        <v>1</v>
      </c>
      <c r="G3" s="5" t="s">
        <v>43</v>
      </c>
      <c r="H3" s="33"/>
      <c r="I3" s="5" t="s">
        <v>44</v>
      </c>
      <c r="J3" s="5" t="s">
        <v>45</v>
      </c>
    </row>
    <row r="4" spans="1:10" ht="19.5" customHeight="1" x14ac:dyDescent="0.35">
      <c r="A4" s="11" t="s">
        <v>46</v>
      </c>
      <c r="B4" s="33">
        <v>0.5</v>
      </c>
      <c r="C4" s="33">
        <v>0.5</v>
      </c>
      <c r="D4" s="33">
        <v>0</v>
      </c>
      <c r="E4" s="33">
        <v>0</v>
      </c>
      <c r="F4" s="38">
        <f>SUM(B4:E4)</f>
        <v>1</v>
      </c>
      <c r="G4" s="5" t="s">
        <v>47</v>
      </c>
      <c r="H4" s="33"/>
      <c r="I4" s="5" t="s">
        <v>48</v>
      </c>
      <c r="J4" s="5" t="s">
        <v>49</v>
      </c>
    </row>
    <row r="5" spans="1:10" ht="19.5" customHeight="1" x14ac:dyDescent="0.35">
      <c r="A5" s="39" t="s">
        <v>50</v>
      </c>
      <c r="B5" s="40">
        <v>0.5</v>
      </c>
      <c r="C5" s="40">
        <v>0.35</v>
      </c>
      <c r="D5" s="40">
        <v>0</v>
      </c>
      <c r="E5" s="40">
        <v>0.15</v>
      </c>
      <c r="F5" s="41">
        <f>SUM(B5:E5)</f>
        <v>1</v>
      </c>
      <c r="G5" s="5" t="s">
        <v>51</v>
      </c>
      <c r="H5" s="33"/>
      <c r="I5" s="5"/>
      <c r="J5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6"/>
  <sheetViews>
    <sheetView workbookViewId="0"/>
  </sheetViews>
  <sheetFormatPr defaultRowHeight="14.5" x14ac:dyDescent="0.35"/>
  <cols>
    <col min="1" max="1" width="13.54296875" style="26" bestFit="1" customWidth="1"/>
    <col min="2" max="5" width="13.54296875" style="23" bestFit="1" customWidth="1"/>
    <col min="6" max="6" width="13.54296875" style="35" bestFit="1" customWidth="1"/>
    <col min="7" max="7" width="13.54296875" style="23" bestFit="1" customWidth="1"/>
    <col min="8" max="8" width="13.54296875" style="35" bestFit="1" customWidth="1"/>
    <col min="9" max="9" width="13.54296875" style="23" bestFit="1" customWidth="1"/>
  </cols>
  <sheetData>
    <row r="1" spans="1:9" ht="18.75" customHeight="1" x14ac:dyDescent="0.35">
      <c r="A1" s="3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32"/>
      <c r="G1" s="8"/>
      <c r="H1" s="33"/>
      <c r="I1" s="8"/>
    </row>
    <row r="2" spans="1:9" ht="18.75" customHeight="1" x14ac:dyDescent="0.35">
      <c r="A2" s="34">
        <v>3.7</v>
      </c>
      <c r="B2" s="8">
        <v>0</v>
      </c>
      <c r="C2" s="8">
        <v>1</v>
      </c>
      <c r="D2" s="8">
        <v>0</v>
      </c>
      <c r="E2" s="8">
        <v>0</v>
      </c>
      <c r="F2" s="32"/>
      <c r="G2" s="8"/>
      <c r="H2" s="33"/>
      <c r="I2" s="8"/>
    </row>
    <row r="3" spans="1:9" ht="18.75" customHeight="1" x14ac:dyDescent="0.35">
      <c r="A3" s="15">
        <v>11</v>
      </c>
      <c r="B3" s="8">
        <v>1</v>
      </c>
      <c r="C3" s="8">
        <v>0</v>
      </c>
      <c r="D3" s="8">
        <v>1</v>
      </c>
      <c r="E3" s="8">
        <v>0.8</v>
      </c>
      <c r="F3" s="32"/>
      <c r="G3" s="13"/>
      <c r="H3" s="32"/>
      <c r="I3" s="8"/>
    </row>
    <row r="4" spans="1:9" ht="18.75" customHeight="1" x14ac:dyDescent="0.35">
      <c r="A4" s="15">
        <v>22</v>
      </c>
      <c r="B4" s="8">
        <v>0</v>
      </c>
      <c r="C4" s="8">
        <v>0</v>
      </c>
      <c r="D4" s="8">
        <v>0</v>
      </c>
      <c r="E4" s="8">
        <v>0</v>
      </c>
      <c r="F4" s="32"/>
      <c r="G4" s="13"/>
      <c r="H4" s="32"/>
      <c r="I4" s="8"/>
    </row>
    <row r="5" spans="1:9" ht="18.75" customHeight="1" x14ac:dyDescent="0.35">
      <c r="A5" s="15">
        <v>150</v>
      </c>
      <c r="B5" s="8">
        <v>0</v>
      </c>
      <c r="C5" s="8">
        <v>0</v>
      </c>
      <c r="D5" s="8">
        <v>0</v>
      </c>
      <c r="E5" s="8">
        <v>0.2</v>
      </c>
      <c r="F5" s="32"/>
      <c r="G5" s="13"/>
      <c r="H5" s="32"/>
      <c r="I5" s="12"/>
    </row>
    <row r="6" spans="1:9" ht="18.75" customHeight="1" x14ac:dyDescent="0.35">
      <c r="A6" s="15">
        <v>350</v>
      </c>
      <c r="B6" s="8">
        <v>0</v>
      </c>
      <c r="C6" s="8">
        <v>0</v>
      </c>
      <c r="D6" s="8">
        <v>0</v>
      </c>
      <c r="E6" s="8">
        <v>0</v>
      </c>
      <c r="F6" s="32"/>
      <c r="G6" s="13"/>
      <c r="H6" s="32"/>
      <c r="I6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M4"/>
  <sheetViews>
    <sheetView workbookViewId="0"/>
  </sheetViews>
  <sheetFormatPr defaultRowHeight="14.5" x14ac:dyDescent="0.35"/>
  <cols>
    <col min="1" max="1" width="26.1796875" style="29" bestFit="1" customWidth="1"/>
    <col min="2" max="2" width="9.81640625" style="30" bestFit="1" customWidth="1"/>
    <col min="3" max="12" width="13.54296875" style="30" bestFit="1" customWidth="1"/>
    <col min="13" max="13" width="35" style="29" bestFit="1" customWidth="1"/>
  </cols>
  <sheetData>
    <row r="1" spans="1:13" ht="18.75" customHeight="1" x14ac:dyDescent="0.35">
      <c r="A1" s="3" t="s">
        <v>26</v>
      </c>
      <c r="B1" s="27">
        <v>0</v>
      </c>
      <c r="C1" s="27">
        <v>0.1</v>
      </c>
      <c r="D1" s="27">
        <v>0.2</v>
      </c>
      <c r="E1" s="27">
        <v>0.3</v>
      </c>
      <c r="F1" s="27">
        <v>0.4</v>
      </c>
      <c r="G1" s="27">
        <v>0.5</v>
      </c>
      <c r="H1" s="27">
        <v>0.6</v>
      </c>
      <c r="I1" s="27">
        <v>0.7</v>
      </c>
      <c r="J1" s="27">
        <v>0.8</v>
      </c>
      <c r="K1" s="27">
        <v>0.9</v>
      </c>
      <c r="L1" s="27">
        <v>1</v>
      </c>
      <c r="M1" s="14"/>
    </row>
    <row r="2" spans="1:13" ht="18.75" customHeight="1" x14ac:dyDescent="0.35">
      <c r="A2" s="11" t="s">
        <v>27</v>
      </c>
      <c r="B2" s="28">
        <v>1</v>
      </c>
      <c r="C2" s="28">
        <v>1</v>
      </c>
      <c r="D2" s="28">
        <v>1</v>
      </c>
      <c r="E2" s="28">
        <v>1</v>
      </c>
      <c r="F2" s="28">
        <v>1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14"/>
    </row>
    <row r="3" spans="1:13" ht="18.75" customHeight="1" x14ac:dyDescent="0.35">
      <c r="A3" s="11" t="s">
        <v>28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16" t="s">
        <v>29</v>
      </c>
    </row>
    <row r="4" spans="1:13" ht="18.75" customHeight="1" x14ac:dyDescent="0.35">
      <c r="A4" s="11" t="s">
        <v>30</v>
      </c>
      <c r="B4" s="28">
        <v>1</v>
      </c>
      <c r="C4" s="28">
        <v>1</v>
      </c>
      <c r="D4" s="28">
        <v>0.9</v>
      </c>
      <c r="E4" s="28">
        <v>0.8</v>
      </c>
      <c r="F4" s="28">
        <v>0.7</v>
      </c>
      <c r="G4" s="28">
        <v>0.6</v>
      </c>
      <c r="H4" s="28">
        <v>0.5</v>
      </c>
      <c r="I4" s="28">
        <v>0.4</v>
      </c>
      <c r="J4" s="28">
        <v>0.3</v>
      </c>
      <c r="K4" s="28">
        <v>0.2</v>
      </c>
      <c r="L4" s="28">
        <v>0.1</v>
      </c>
      <c r="M4" s="16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Q6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.7265625" style="23" bestFit="1" customWidth="1"/>
    <col min="2" max="2" width="11.453125" style="23" bestFit="1" customWidth="1"/>
    <col min="3" max="5" width="13.54296875" style="24" hidden="1" bestFit="1" customWidth="1"/>
    <col min="6" max="6" width="11" style="24" bestFit="1" customWidth="1"/>
    <col min="7" max="7" width="10" style="24" bestFit="1" customWidth="1"/>
    <col min="8" max="9" width="13.54296875" style="23" hidden="1" bestFit="1" customWidth="1"/>
    <col min="10" max="10" width="22.54296875" style="24" bestFit="1" customWidth="1"/>
    <col min="11" max="12" width="11.453125" style="25" bestFit="1" customWidth="1"/>
    <col min="13" max="13" width="17" style="26" bestFit="1" customWidth="1"/>
    <col min="14" max="14" width="14.54296875" style="24" bestFit="1" customWidth="1"/>
    <col min="15" max="15" width="20.453125" style="23" bestFit="1" customWidth="1"/>
    <col min="16" max="16" width="17.1796875" style="23" bestFit="1" customWidth="1"/>
    <col min="17" max="17" width="11.453125" style="23" bestFit="1" customWidth="1"/>
  </cols>
  <sheetData>
    <row r="1" spans="1:17" ht="18.7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1" t="s">
        <v>8</v>
      </c>
      <c r="J1" s="3" t="s">
        <v>9</v>
      </c>
      <c r="K1" s="5"/>
      <c r="L1" s="6" t="s">
        <v>10</v>
      </c>
      <c r="M1" s="7" t="s">
        <v>11</v>
      </c>
      <c r="N1" s="3" t="s">
        <v>12</v>
      </c>
      <c r="O1" s="1" t="s">
        <v>13</v>
      </c>
      <c r="P1" s="1" t="s">
        <v>14</v>
      </c>
      <c r="Q1" s="1" t="s">
        <v>15</v>
      </c>
    </row>
    <row r="2" spans="1:17" ht="18.75" customHeight="1" x14ac:dyDescent="0.35">
      <c r="A2" s="8">
        <v>-20</v>
      </c>
      <c r="B2" s="8">
        <v>1.1200000000000001</v>
      </c>
      <c r="C2" s="9">
        <f t="shared" ref="C2:C33" si="0">$N$3*$M$8*($M$9-A2)</f>
        <v>3.5878499999999995</v>
      </c>
      <c r="D2" s="8">
        <f t="shared" ref="D2:D33" si="1">$M$7/1000*($M$9-A2)</f>
        <v>1.218</v>
      </c>
      <c r="E2" s="8">
        <f t="shared" ref="E2:E33" si="2">-120/1000*1.4</f>
        <v>-0.16799999999999998</v>
      </c>
      <c r="F2" s="8">
        <f t="shared" ref="F2:F33" si="3">SUM(C2:E2)</f>
        <v>4.6378499999999994</v>
      </c>
      <c r="G2" s="9">
        <f t="shared" ref="G2:G33" si="4">F2/B2</f>
        <v>4.1409374999999988</v>
      </c>
      <c r="H2" s="10">
        <v>2.1184018796992499</v>
      </c>
      <c r="I2" s="8">
        <v>2.25</v>
      </c>
      <c r="J2" s="8">
        <f t="shared" ref="J2:J33" si="5">SUM(H2:I2)</f>
        <v>4.3684018796992499</v>
      </c>
      <c r="K2" s="5"/>
      <c r="L2" s="11" t="s">
        <v>16</v>
      </c>
      <c r="M2" s="8">
        <v>1.3009999999999999</v>
      </c>
      <c r="N2" s="12">
        <f>5/60</f>
        <v>8.3333333333333329E-2</v>
      </c>
      <c r="O2" s="8">
        <v>40</v>
      </c>
      <c r="P2" s="8">
        <v>200</v>
      </c>
      <c r="Q2" s="8">
        <v>1.25</v>
      </c>
    </row>
    <row r="3" spans="1:17" ht="18.75" customHeight="1" x14ac:dyDescent="0.35">
      <c r="A3" s="8">
        <v>-19</v>
      </c>
      <c r="B3" s="8">
        <v>1.1519999999999999</v>
      </c>
      <c r="C3" s="9">
        <f t="shared" si="0"/>
        <v>3.5024249999999997</v>
      </c>
      <c r="D3" s="8">
        <f t="shared" si="1"/>
        <v>1.1890000000000001</v>
      </c>
      <c r="E3" s="8">
        <f t="shared" si="2"/>
        <v>-0.16799999999999998</v>
      </c>
      <c r="F3" s="8">
        <f t="shared" si="3"/>
        <v>4.5234249999999996</v>
      </c>
      <c r="G3" s="9">
        <f t="shared" si="4"/>
        <v>3.9265842013888888</v>
      </c>
      <c r="H3" s="10">
        <v>2.0606184210526299</v>
      </c>
      <c r="I3" s="8">
        <v>2.15</v>
      </c>
      <c r="J3" s="8">
        <f t="shared" si="5"/>
        <v>4.2106184210526294</v>
      </c>
      <c r="K3" s="5"/>
      <c r="L3" s="11" t="s">
        <v>17</v>
      </c>
      <c r="M3" s="8">
        <v>1.601</v>
      </c>
      <c r="N3" s="12">
        <f>5.1/60</f>
        <v>8.4999999999999992E-2</v>
      </c>
      <c r="O3" s="8">
        <v>44</v>
      </c>
      <c r="P3" s="8">
        <v>300</v>
      </c>
      <c r="Q3" s="8">
        <v>1.125</v>
      </c>
    </row>
    <row r="4" spans="1:17" ht="18.75" customHeight="1" x14ac:dyDescent="0.35">
      <c r="A4" s="8">
        <v>-18</v>
      </c>
      <c r="B4" s="8">
        <v>1.1839999999999999</v>
      </c>
      <c r="C4" s="9">
        <f t="shared" si="0"/>
        <v>3.4169999999999994</v>
      </c>
      <c r="D4" s="8">
        <f t="shared" si="1"/>
        <v>1.1600000000000001</v>
      </c>
      <c r="E4" s="8">
        <f t="shared" si="2"/>
        <v>-0.16799999999999998</v>
      </c>
      <c r="F4" s="8">
        <f t="shared" si="3"/>
        <v>4.4089999999999998</v>
      </c>
      <c r="G4" s="9">
        <f t="shared" si="4"/>
        <v>3.7238175675675675</v>
      </c>
      <c r="H4" s="10">
        <v>2.003324060150375</v>
      </c>
      <c r="I4" s="8">
        <v>2.0499999999999998</v>
      </c>
      <c r="J4" s="8">
        <f t="shared" si="5"/>
        <v>4.0533240601503753</v>
      </c>
      <c r="K4" s="5"/>
      <c r="L4" s="11" t="s">
        <v>18</v>
      </c>
      <c r="M4" s="8">
        <v>1.736</v>
      </c>
      <c r="N4" s="12">
        <f>5.2/60</f>
        <v>8.666666666666667E-2</v>
      </c>
      <c r="O4" s="8">
        <v>48</v>
      </c>
      <c r="P4" s="8">
        <v>400</v>
      </c>
      <c r="Q4" s="8">
        <v>1</v>
      </c>
    </row>
    <row r="5" spans="1:17" ht="18.75" customHeight="1" x14ac:dyDescent="0.35">
      <c r="A5" s="8">
        <v>-17</v>
      </c>
      <c r="B5" s="8">
        <v>1.216</v>
      </c>
      <c r="C5" s="9">
        <f t="shared" si="0"/>
        <v>3.3315749999999995</v>
      </c>
      <c r="D5" s="8">
        <f t="shared" si="1"/>
        <v>1.131</v>
      </c>
      <c r="E5" s="8">
        <f t="shared" si="2"/>
        <v>-0.16799999999999998</v>
      </c>
      <c r="F5" s="8">
        <f t="shared" si="3"/>
        <v>4.2945749999999991</v>
      </c>
      <c r="G5" s="9">
        <f t="shared" si="4"/>
        <v>3.5317228618421046</v>
      </c>
      <c r="H5" s="10">
        <v>1.94554060150376</v>
      </c>
      <c r="I5" s="8">
        <v>1.95</v>
      </c>
      <c r="J5" s="8">
        <f t="shared" si="5"/>
        <v>3.8955406015037601</v>
      </c>
      <c r="K5" s="5"/>
      <c r="L5" s="11" t="s">
        <v>19</v>
      </c>
      <c r="M5" s="8">
        <v>2</v>
      </c>
      <c r="N5" s="12">
        <f>5.3/60</f>
        <v>8.8333333333333333E-2</v>
      </c>
      <c r="O5" s="8">
        <v>50</v>
      </c>
      <c r="P5" s="8">
        <v>400</v>
      </c>
      <c r="Q5" s="8">
        <v>1</v>
      </c>
    </row>
    <row r="6" spans="1:17" ht="18.75" customHeight="1" x14ac:dyDescent="0.35">
      <c r="A6" s="8">
        <v>-16</v>
      </c>
      <c r="B6" s="8">
        <v>1.248</v>
      </c>
      <c r="C6" s="9">
        <f t="shared" si="0"/>
        <v>3.2461499999999996</v>
      </c>
      <c r="D6" s="8">
        <f t="shared" si="1"/>
        <v>1.1020000000000001</v>
      </c>
      <c r="E6" s="8">
        <f t="shared" si="2"/>
        <v>-0.16799999999999998</v>
      </c>
      <c r="F6" s="8">
        <f t="shared" si="3"/>
        <v>4.1801499999999994</v>
      </c>
      <c r="G6" s="9">
        <f t="shared" si="4"/>
        <v>3.3494791666666663</v>
      </c>
      <c r="H6" s="10">
        <v>1.8877571428571449</v>
      </c>
      <c r="I6" s="8">
        <v>1.85</v>
      </c>
      <c r="J6" s="8">
        <f t="shared" si="5"/>
        <v>3.737757142857145</v>
      </c>
      <c r="K6" s="5"/>
      <c r="L6" s="5"/>
      <c r="M6" s="8"/>
      <c r="N6" s="8"/>
      <c r="O6" s="8"/>
      <c r="P6" s="8"/>
      <c r="Q6" s="13"/>
    </row>
    <row r="7" spans="1:17" ht="18.75" customHeight="1" x14ac:dyDescent="0.35">
      <c r="A7" s="8">
        <v>-15</v>
      </c>
      <c r="B7" s="8">
        <v>1.28</v>
      </c>
      <c r="C7" s="9">
        <f t="shared" si="0"/>
        <v>3.1607249999999993</v>
      </c>
      <c r="D7" s="8">
        <f t="shared" si="1"/>
        <v>1.073</v>
      </c>
      <c r="E7" s="8">
        <f t="shared" si="2"/>
        <v>-0.16799999999999998</v>
      </c>
      <c r="F7" s="8">
        <f t="shared" si="3"/>
        <v>4.0657249999999996</v>
      </c>
      <c r="G7" s="9">
        <f t="shared" si="4"/>
        <v>3.1763476562499995</v>
      </c>
      <c r="H7" s="10">
        <v>1.829973684210525</v>
      </c>
      <c r="I7" s="8">
        <v>1.75</v>
      </c>
      <c r="J7" s="8">
        <f t="shared" si="5"/>
        <v>3.579973684210525</v>
      </c>
      <c r="K7" s="5"/>
      <c r="L7" s="11" t="s">
        <v>20</v>
      </c>
      <c r="M7" s="8">
        <v>29</v>
      </c>
      <c r="N7" s="14" t="s">
        <v>21</v>
      </c>
      <c r="O7" s="13"/>
      <c r="P7" s="13"/>
      <c r="Q7" s="13"/>
    </row>
    <row r="8" spans="1:17" ht="18.75" customHeight="1" x14ac:dyDescent="0.35">
      <c r="A8" s="8">
        <v>-14</v>
      </c>
      <c r="B8" s="8">
        <v>1.3120000000000001</v>
      </c>
      <c r="C8" s="9">
        <f t="shared" si="0"/>
        <v>3.0752999999999995</v>
      </c>
      <c r="D8" s="8">
        <f t="shared" si="1"/>
        <v>1.044</v>
      </c>
      <c r="E8" s="8">
        <f t="shared" si="2"/>
        <v>-0.16799999999999998</v>
      </c>
      <c r="F8" s="8">
        <f t="shared" si="3"/>
        <v>3.9512999999999989</v>
      </c>
      <c r="G8" s="9">
        <f t="shared" si="4"/>
        <v>3.0116615853658528</v>
      </c>
      <c r="H8" s="10">
        <v>1.76988796992481</v>
      </c>
      <c r="I8" s="8">
        <v>1.65</v>
      </c>
      <c r="J8" s="8">
        <f t="shared" si="5"/>
        <v>3.4198879699248099</v>
      </c>
      <c r="K8" s="5"/>
      <c r="L8" s="11" t="s">
        <v>22</v>
      </c>
      <c r="M8" s="8">
        <v>1.0049999999999999</v>
      </c>
      <c r="N8" s="14" t="s">
        <v>23</v>
      </c>
      <c r="O8" s="13"/>
      <c r="P8" s="13"/>
      <c r="Q8" s="13"/>
    </row>
    <row r="9" spans="1:17" ht="18.75" customHeight="1" x14ac:dyDescent="0.35">
      <c r="A9" s="8">
        <v>-13</v>
      </c>
      <c r="B9" s="8">
        <v>1.3440000000000001</v>
      </c>
      <c r="C9" s="9">
        <f t="shared" si="0"/>
        <v>2.9898749999999996</v>
      </c>
      <c r="D9" s="8">
        <f t="shared" si="1"/>
        <v>1.0150000000000001</v>
      </c>
      <c r="E9" s="8">
        <f t="shared" si="2"/>
        <v>-0.16799999999999998</v>
      </c>
      <c r="F9" s="8">
        <f t="shared" si="3"/>
        <v>3.836875</v>
      </c>
      <c r="G9" s="9">
        <f t="shared" si="4"/>
        <v>2.854817708333333</v>
      </c>
      <c r="H9" s="10">
        <v>1.7093131578947349</v>
      </c>
      <c r="I9" s="8">
        <v>1.55</v>
      </c>
      <c r="J9" s="8">
        <f t="shared" si="5"/>
        <v>3.2593131578947352</v>
      </c>
      <c r="K9" s="5"/>
      <c r="L9" s="11" t="s">
        <v>24</v>
      </c>
      <c r="M9" s="15">
        <v>22</v>
      </c>
      <c r="N9" s="16" t="s">
        <v>25</v>
      </c>
      <c r="O9" s="13"/>
      <c r="P9" s="13"/>
      <c r="Q9" s="13"/>
    </row>
    <row r="10" spans="1:17" ht="18.75" customHeight="1" x14ac:dyDescent="0.35">
      <c r="A10" s="8">
        <v>-12</v>
      </c>
      <c r="B10" s="8">
        <v>1.3759999999999999</v>
      </c>
      <c r="C10" s="9">
        <f t="shared" si="0"/>
        <v>2.9044499999999998</v>
      </c>
      <c r="D10" s="8">
        <f t="shared" si="1"/>
        <v>0.9860000000000001</v>
      </c>
      <c r="E10" s="8">
        <f t="shared" si="2"/>
        <v>-0.16799999999999998</v>
      </c>
      <c r="F10" s="8">
        <f t="shared" si="3"/>
        <v>3.7224499999999998</v>
      </c>
      <c r="G10" s="9">
        <f t="shared" si="4"/>
        <v>2.7052688953488371</v>
      </c>
      <c r="H10" s="10">
        <v>1.6487383458646601</v>
      </c>
      <c r="I10" s="8">
        <v>1.45</v>
      </c>
      <c r="J10" s="8">
        <f t="shared" si="5"/>
        <v>3.09873834586466</v>
      </c>
      <c r="K10" s="5"/>
      <c r="L10" s="16"/>
      <c r="M10" s="17"/>
      <c r="N10" s="18"/>
      <c r="O10" s="13"/>
      <c r="P10" s="13"/>
      <c r="Q10" s="13"/>
    </row>
    <row r="11" spans="1:17" ht="18.75" customHeight="1" x14ac:dyDescent="0.35">
      <c r="A11" s="8">
        <v>-11</v>
      </c>
      <c r="B11" s="8">
        <v>1.4079999999999999</v>
      </c>
      <c r="C11" s="9">
        <f t="shared" si="0"/>
        <v>2.8190249999999994</v>
      </c>
      <c r="D11" s="8">
        <f t="shared" si="1"/>
        <v>0.95700000000000007</v>
      </c>
      <c r="E11" s="8">
        <f t="shared" si="2"/>
        <v>-0.16799999999999998</v>
      </c>
      <c r="F11" s="8">
        <f t="shared" si="3"/>
        <v>3.6080249999999996</v>
      </c>
      <c r="G11" s="9">
        <f t="shared" si="4"/>
        <v>2.5625177556818182</v>
      </c>
      <c r="H11" s="10">
        <v>1.58865263157895</v>
      </c>
      <c r="I11" s="8">
        <v>1.35</v>
      </c>
      <c r="J11" s="8">
        <f t="shared" si="5"/>
        <v>2.9386526315789503</v>
      </c>
      <c r="K11" s="5"/>
      <c r="L11" s="16"/>
      <c r="M11" s="17"/>
      <c r="N11" s="18"/>
      <c r="O11" s="13"/>
      <c r="P11" s="13"/>
      <c r="Q11" s="13"/>
    </row>
    <row r="12" spans="1:17" ht="18.75" customHeight="1" x14ac:dyDescent="0.35">
      <c r="A12" s="8">
        <v>-10</v>
      </c>
      <c r="B12" s="8">
        <v>1.44</v>
      </c>
      <c r="C12" s="9">
        <f t="shared" si="0"/>
        <v>2.7335999999999996</v>
      </c>
      <c r="D12" s="8">
        <f t="shared" si="1"/>
        <v>0.92800000000000005</v>
      </c>
      <c r="E12" s="8">
        <f t="shared" si="2"/>
        <v>-0.16799999999999998</v>
      </c>
      <c r="F12" s="8">
        <f t="shared" si="3"/>
        <v>3.4935999999999994</v>
      </c>
      <c r="G12" s="9">
        <f t="shared" si="4"/>
        <v>2.4261111111111107</v>
      </c>
      <c r="H12" s="10">
        <v>1.52807781954887</v>
      </c>
      <c r="I12" s="8">
        <v>1.25</v>
      </c>
      <c r="J12" s="8">
        <f t="shared" si="5"/>
        <v>2.7780778195488702</v>
      </c>
      <c r="K12" s="5"/>
      <c r="L12" s="5"/>
      <c r="M12" s="19"/>
      <c r="N12" s="18"/>
      <c r="O12" s="13"/>
      <c r="P12" s="13"/>
      <c r="Q12" s="13"/>
    </row>
    <row r="13" spans="1:17" ht="18.75" customHeight="1" x14ac:dyDescent="0.35">
      <c r="A13" s="8">
        <v>-9</v>
      </c>
      <c r="B13" s="8">
        <v>1.472</v>
      </c>
      <c r="C13" s="9">
        <f t="shared" si="0"/>
        <v>2.6481749999999997</v>
      </c>
      <c r="D13" s="8">
        <f t="shared" si="1"/>
        <v>0.89900000000000002</v>
      </c>
      <c r="E13" s="8">
        <f t="shared" si="2"/>
        <v>-0.16799999999999998</v>
      </c>
      <c r="F13" s="8">
        <f t="shared" si="3"/>
        <v>3.3791749999999996</v>
      </c>
      <c r="G13" s="9">
        <f t="shared" si="4"/>
        <v>2.295635190217391</v>
      </c>
      <c r="H13" s="10">
        <v>1.470294360902255</v>
      </c>
      <c r="I13" s="8">
        <v>1.1499999999999999</v>
      </c>
      <c r="J13" s="8">
        <f t="shared" si="5"/>
        <v>2.6202943609022551</v>
      </c>
      <c r="K13" s="5"/>
      <c r="L13" s="5"/>
      <c r="M13" s="19"/>
      <c r="N13" s="20"/>
      <c r="O13" s="13"/>
      <c r="P13" s="13"/>
      <c r="Q13" s="13"/>
    </row>
    <row r="14" spans="1:17" ht="18.75" customHeight="1" x14ac:dyDescent="0.35">
      <c r="A14" s="8">
        <v>-8</v>
      </c>
      <c r="B14" s="8">
        <v>1.504</v>
      </c>
      <c r="C14" s="9">
        <f t="shared" si="0"/>
        <v>2.5627499999999994</v>
      </c>
      <c r="D14" s="8">
        <f t="shared" si="1"/>
        <v>0.87</v>
      </c>
      <c r="E14" s="8">
        <f t="shared" si="2"/>
        <v>-0.16799999999999998</v>
      </c>
      <c r="F14" s="8">
        <f t="shared" si="3"/>
        <v>3.2647499999999994</v>
      </c>
      <c r="G14" s="9">
        <f t="shared" si="4"/>
        <v>2.1707114361702122</v>
      </c>
      <c r="H14" s="10">
        <v>1.413</v>
      </c>
      <c r="I14" s="8">
        <v>1.05</v>
      </c>
      <c r="J14" s="8">
        <f t="shared" si="5"/>
        <v>2.4630000000000001</v>
      </c>
      <c r="K14" s="5"/>
      <c r="L14" s="5"/>
      <c r="M14" s="19"/>
      <c r="N14" s="21"/>
      <c r="O14" s="13"/>
      <c r="P14" s="13"/>
      <c r="Q14" s="13"/>
    </row>
    <row r="15" spans="1:17" ht="18.75" customHeight="1" x14ac:dyDescent="0.35">
      <c r="A15" s="8">
        <v>-7</v>
      </c>
      <c r="B15" s="8">
        <v>1.536</v>
      </c>
      <c r="C15" s="9">
        <f t="shared" si="0"/>
        <v>2.4773249999999996</v>
      </c>
      <c r="D15" s="8">
        <f t="shared" si="1"/>
        <v>0.84100000000000008</v>
      </c>
      <c r="E15" s="8">
        <f t="shared" si="2"/>
        <v>-0.16799999999999998</v>
      </c>
      <c r="F15" s="8">
        <f t="shared" si="3"/>
        <v>3.1503249999999996</v>
      </c>
      <c r="G15" s="9">
        <f t="shared" si="4"/>
        <v>2.0509928385416663</v>
      </c>
      <c r="H15" s="10">
        <v>1.355216541353385</v>
      </c>
      <c r="I15" s="8">
        <v>0.95</v>
      </c>
      <c r="J15" s="8">
        <f t="shared" si="5"/>
        <v>2.3052165413533849</v>
      </c>
      <c r="K15" s="5"/>
      <c r="L15" s="5"/>
      <c r="M15" s="19"/>
      <c r="N15" s="21"/>
      <c r="O15" s="13"/>
      <c r="P15" s="13"/>
      <c r="Q15" s="13"/>
    </row>
    <row r="16" spans="1:17" ht="18.75" customHeight="1" x14ac:dyDescent="0.35">
      <c r="A16" s="8">
        <v>-6</v>
      </c>
      <c r="B16" s="8">
        <v>1.5680000000000001</v>
      </c>
      <c r="C16" s="9">
        <f t="shared" si="0"/>
        <v>2.3918999999999997</v>
      </c>
      <c r="D16" s="8">
        <f t="shared" si="1"/>
        <v>0.81200000000000006</v>
      </c>
      <c r="E16" s="8">
        <f t="shared" si="2"/>
        <v>-0.16799999999999998</v>
      </c>
      <c r="F16" s="8">
        <f t="shared" si="3"/>
        <v>3.0358999999999998</v>
      </c>
      <c r="G16" s="9">
        <f t="shared" si="4"/>
        <v>1.936160714285714</v>
      </c>
      <c r="H16" s="10">
        <v>1.2974330827067651</v>
      </c>
      <c r="I16" s="8">
        <v>0.85</v>
      </c>
      <c r="J16" s="8">
        <f t="shared" si="5"/>
        <v>2.1474330827067649</v>
      </c>
      <c r="K16" s="5"/>
      <c r="L16" s="5"/>
      <c r="M16" s="19"/>
      <c r="N16" s="21"/>
      <c r="O16" s="13"/>
      <c r="P16" s="13"/>
      <c r="Q16" s="13"/>
    </row>
    <row r="17" spans="1:17" ht="18.75" customHeight="1" x14ac:dyDescent="0.35">
      <c r="A17" s="8">
        <v>-5</v>
      </c>
      <c r="B17" s="8">
        <v>1.6</v>
      </c>
      <c r="C17" s="9">
        <f t="shared" si="0"/>
        <v>2.3064749999999998</v>
      </c>
      <c r="D17" s="8">
        <f t="shared" si="1"/>
        <v>0.78300000000000003</v>
      </c>
      <c r="E17" s="8">
        <f t="shared" si="2"/>
        <v>-0.16799999999999998</v>
      </c>
      <c r="F17" s="8">
        <f t="shared" si="3"/>
        <v>2.9214749999999996</v>
      </c>
      <c r="G17" s="9">
        <f t="shared" si="4"/>
        <v>1.8259218749999997</v>
      </c>
      <c r="H17" s="10">
        <v>1.23964962406015</v>
      </c>
      <c r="I17" s="8">
        <v>0.75</v>
      </c>
      <c r="J17" s="8">
        <f t="shared" si="5"/>
        <v>1.98964962406015</v>
      </c>
      <c r="K17" s="5"/>
      <c r="L17" s="5"/>
      <c r="M17" s="19"/>
      <c r="N17" s="21"/>
      <c r="O17" s="13"/>
      <c r="P17" s="13"/>
      <c r="Q17" s="13"/>
    </row>
    <row r="18" spans="1:17" ht="18.75" customHeight="1" x14ac:dyDescent="0.35">
      <c r="A18" s="8">
        <v>-4</v>
      </c>
      <c r="B18" s="8">
        <v>1.6319999999999999</v>
      </c>
      <c r="C18" s="9">
        <f t="shared" si="0"/>
        <v>2.2210499999999995</v>
      </c>
      <c r="D18" s="8">
        <f t="shared" si="1"/>
        <v>0.754</v>
      </c>
      <c r="E18" s="8">
        <f t="shared" si="2"/>
        <v>-0.16799999999999998</v>
      </c>
      <c r="F18" s="8">
        <f t="shared" si="3"/>
        <v>2.8070499999999994</v>
      </c>
      <c r="G18" s="9">
        <f t="shared" si="4"/>
        <v>1.7200061274509801</v>
      </c>
      <c r="H18" s="10">
        <v>1.1851466165413549</v>
      </c>
      <c r="I18" s="8">
        <v>0.65</v>
      </c>
      <c r="J18" s="8">
        <f t="shared" si="5"/>
        <v>1.8351466165413548</v>
      </c>
      <c r="K18" s="5"/>
      <c r="L18" s="5"/>
      <c r="M18" s="19"/>
      <c r="N18" s="21"/>
      <c r="O18" s="13"/>
      <c r="P18" s="13"/>
      <c r="Q18" s="13"/>
    </row>
    <row r="19" spans="1:17" ht="18.75" customHeight="1" x14ac:dyDescent="0.35">
      <c r="A19" s="8">
        <v>-3</v>
      </c>
      <c r="B19" s="8">
        <v>1.6639999999999999</v>
      </c>
      <c r="C19" s="9">
        <f t="shared" si="0"/>
        <v>2.1356249999999997</v>
      </c>
      <c r="D19" s="8">
        <f t="shared" si="1"/>
        <v>0.72500000000000009</v>
      </c>
      <c r="E19" s="8">
        <f t="shared" si="2"/>
        <v>-0.16799999999999998</v>
      </c>
      <c r="F19" s="8">
        <f t="shared" si="3"/>
        <v>2.6926249999999996</v>
      </c>
      <c r="G19" s="9">
        <f t="shared" si="4"/>
        <v>1.6181640624999998</v>
      </c>
      <c r="H19" s="10">
        <v>1.130154511278195</v>
      </c>
      <c r="I19" s="8">
        <v>0.55000000000000004</v>
      </c>
      <c r="J19" s="8">
        <f t="shared" si="5"/>
        <v>1.680154511278195</v>
      </c>
      <c r="K19" s="5"/>
      <c r="L19" s="5"/>
      <c r="M19" s="19"/>
      <c r="N19" s="21"/>
      <c r="O19" s="13"/>
      <c r="P19" s="13"/>
      <c r="Q19" s="13"/>
    </row>
    <row r="20" spans="1:17" ht="18.75" customHeight="1" x14ac:dyDescent="0.35">
      <c r="A20" s="8">
        <v>-2</v>
      </c>
      <c r="B20" s="8">
        <v>1.696</v>
      </c>
      <c r="C20" s="9">
        <f t="shared" si="0"/>
        <v>2.0501999999999998</v>
      </c>
      <c r="D20" s="8">
        <f t="shared" si="1"/>
        <v>0.69600000000000006</v>
      </c>
      <c r="E20" s="8">
        <f t="shared" si="2"/>
        <v>-0.16799999999999998</v>
      </c>
      <c r="F20" s="8">
        <f t="shared" si="3"/>
        <v>2.5781999999999998</v>
      </c>
      <c r="G20" s="9">
        <f t="shared" si="4"/>
        <v>1.5201650943396225</v>
      </c>
      <c r="H20" s="10">
        <v>1.07516240601504</v>
      </c>
      <c r="I20" s="8">
        <v>0.45</v>
      </c>
      <c r="J20" s="8">
        <f t="shared" si="5"/>
        <v>1.5251624060150399</v>
      </c>
      <c r="K20" s="5"/>
      <c r="L20" s="5"/>
      <c r="M20" s="19"/>
      <c r="N20" s="21"/>
      <c r="O20" s="13"/>
      <c r="P20" s="13"/>
      <c r="Q20" s="13"/>
    </row>
    <row r="21" spans="1:17" ht="18.75" customHeight="1" x14ac:dyDescent="0.35">
      <c r="A21" s="8">
        <v>-1</v>
      </c>
      <c r="B21" s="8">
        <v>1.728</v>
      </c>
      <c r="C21" s="9">
        <f t="shared" si="0"/>
        <v>1.9647749999999997</v>
      </c>
      <c r="D21" s="8">
        <f t="shared" si="1"/>
        <v>0.66700000000000004</v>
      </c>
      <c r="E21" s="8">
        <f t="shared" si="2"/>
        <v>-0.16799999999999998</v>
      </c>
      <c r="F21" s="8">
        <f t="shared" si="3"/>
        <v>2.4637749999999996</v>
      </c>
      <c r="G21" s="9">
        <f t="shared" si="4"/>
        <v>1.4257957175925924</v>
      </c>
      <c r="H21" s="10">
        <v>1.02065939849624</v>
      </c>
      <c r="I21" s="8">
        <v>0.35</v>
      </c>
      <c r="J21" s="8">
        <f t="shared" si="5"/>
        <v>1.3706593984962399</v>
      </c>
      <c r="K21" s="5"/>
      <c r="L21" s="5"/>
      <c r="M21" s="19"/>
      <c r="N21" s="21"/>
      <c r="O21" s="13"/>
      <c r="P21" s="13"/>
      <c r="Q21" s="13"/>
    </row>
    <row r="22" spans="1:17" ht="18.75" customHeight="1" x14ac:dyDescent="0.35">
      <c r="A22" s="8">
        <v>0</v>
      </c>
      <c r="B22" s="8">
        <v>1.76</v>
      </c>
      <c r="C22" s="9">
        <f t="shared" si="0"/>
        <v>1.8793499999999996</v>
      </c>
      <c r="D22" s="8">
        <f t="shared" si="1"/>
        <v>0.63800000000000001</v>
      </c>
      <c r="E22" s="8">
        <f t="shared" si="2"/>
        <v>-0.16799999999999998</v>
      </c>
      <c r="F22" s="8">
        <f t="shared" si="3"/>
        <v>2.3493499999999994</v>
      </c>
      <c r="G22" s="9">
        <f t="shared" si="4"/>
        <v>1.3348579545454542</v>
      </c>
      <c r="H22" s="10">
        <v>0.96566729323308498</v>
      </c>
      <c r="I22" s="8">
        <v>0</v>
      </c>
      <c r="J22" s="8">
        <f t="shared" si="5"/>
        <v>0.96566729323308498</v>
      </c>
      <c r="K22" s="5"/>
      <c r="L22" s="5"/>
      <c r="M22" s="19"/>
      <c r="N22" s="21"/>
      <c r="O22" s="13"/>
      <c r="P22" s="13"/>
      <c r="Q22" s="13"/>
    </row>
    <row r="23" spans="1:17" ht="18.75" customHeight="1" x14ac:dyDescent="0.35">
      <c r="A23" s="8">
        <v>1</v>
      </c>
      <c r="B23" s="8">
        <v>1.8580000000000001</v>
      </c>
      <c r="C23" s="9">
        <f t="shared" si="0"/>
        <v>1.7939249999999998</v>
      </c>
      <c r="D23" s="8">
        <f t="shared" si="1"/>
        <v>0.60899999999999999</v>
      </c>
      <c r="E23" s="8">
        <f t="shared" si="2"/>
        <v>-0.16799999999999998</v>
      </c>
      <c r="F23" s="8">
        <f t="shared" si="3"/>
        <v>2.2349249999999996</v>
      </c>
      <c r="G23" s="9">
        <f t="shared" si="4"/>
        <v>1.2028659849300321</v>
      </c>
      <c r="H23" s="10">
        <v>0.92149999999999999</v>
      </c>
      <c r="I23" s="8"/>
      <c r="J23" s="8">
        <f t="shared" si="5"/>
        <v>0.92149999999999999</v>
      </c>
      <c r="K23" s="5"/>
      <c r="L23" s="5"/>
      <c r="M23" s="19"/>
      <c r="N23" s="21"/>
      <c r="O23" s="13"/>
      <c r="P23" s="13"/>
      <c r="Q23" s="13"/>
    </row>
    <row r="24" spans="1:17" ht="18.75" customHeight="1" x14ac:dyDescent="0.35">
      <c r="A24" s="8">
        <v>2</v>
      </c>
      <c r="B24" s="8">
        <v>1.956</v>
      </c>
      <c r="C24" s="9">
        <f t="shared" si="0"/>
        <v>1.7084999999999997</v>
      </c>
      <c r="D24" s="8">
        <f t="shared" si="1"/>
        <v>0.58000000000000007</v>
      </c>
      <c r="E24" s="8">
        <f t="shared" si="2"/>
        <v>-0.16799999999999998</v>
      </c>
      <c r="F24" s="8">
        <f t="shared" si="3"/>
        <v>2.1204999999999998</v>
      </c>
      <c r="G24" s="9">
        <f t="shared" si="4"/>
        <v>1.0841002044989774</v>
      </c>
      <c r="H24" s="10">
        <v>0.873</v>
      </c>
      <c r="I24" s="8"/>
      <c r="J24" s="8">
        <f t="shared" si="5"/>
        <v>0.873</v>
      </c>
      <c r="K24" s="5"/>
      <c r="L24" s="5"/>
      <c r="M24" s="19"/>
      <c r="N24" s="21"/>
      <c r="O24" s="13"/>
      <c r="P24" s="13"/>
      <c r="Q24" s="13"/>
    </row>
    <row r="25" spans="1:17" ht="18.75" customHeight="1" x14ac:dyDescent="0.35">
      <c r="A25" s="8">
        <v>3</v>
      </c>
      <c r="B25" s="8">
        <v>2.0539999999999998</v>
      </c>
      <c r="C25" s="9">
        <f t="shared" si="0"/>
        <v>1.6230749999999998</v>
      </c>
      <c r="D25" s="8">
        <f t="shared" si="1"/>
        <v>0.55100000000000005</v>
      </c>
      <c r="E25" s="8">
        <f t="shared" si="2"/>
        <v>-0.16799999999999998</v>
      </c>
      <c r="F25" s="8">
        <f t="shared" si="3"/>
        <v>2.0060749999999996</v>
      </c>
      <c r="G25" s="9">
        <f t="shared" si="4"/>
        <v>0.97666747809152865</v>
      </c>
      <c r="H25" s="10">
        <v>0.82450000000000001</v>
      </c>
      <c r="I25" s="13"/>
      <c r="J25" s="8">
        <f t="shared" si="5"/>
        <v>0.82450000000000001</v>
      </c>
      <c r="K25" s="5"/>
      <c r="L25" s="5"/>
      <c r="M25" s="19"/>
      <c r="N25" s="21"/>
      <c r="O25" s="13"/>
      <c r="P25" s="13"/>
      <c r="Q25" s="13"/>
    </row>
    <row r="26" spans="1:17" ht="18.75" customHeight="1" x14ac:dyDescent="0.35">
      <c r="A26" s="8">
        <v>4</v>
      </c>
      <c r="B26" s="8">
        <v>2.1520000000000001</v>
      </c>
      <c r="C26" s="9">
        <f t="shared" si="0"/>
        <v>1.5376499999999997</v>
      </c>
      <c r="D26" s="8">
        <f t="shared" si="1"/>
        <v>0.52200000000000002</v>
      </c>
      <c r="E26" s="8">
        <f t="shared" si="2"/>
        <v>-0.16799999999999998</v>
      </c>
      <c r="F26" s="8">
        <f t="shared" si="3"/>
        <v>1.8916499999999996</v>
      </c>
      <c r="G26" s="9">
        <f t="shared" si="4"/>
        <v>0.87901951672862433</v>
      </c>
      <c r="H26" s="10">
        <v>0.77600000000000002</v>
      </c>
      <c r="I26" s="13"/>
      <c r="J26" s="8">
        <f t="shared" si="5"/>
        <v>0.77600000000000002</v>
      </c>
      <c r="K26" s="5"/>
      <c r="L26" s="5"/>
      <c r="M26" s="19"/>
      <c r="N26" s="21"/>
      <c r="O26" s="13"/>
      <c r="P26" s="13"/>
      <c r="Q26" s="13"/>
    </row>
    <row r="27" spans="1:17" ht="18.75" customHeight="1" x14ac:dyDescent="0.35">
      <c r="A27" s="8">
        <v>5</v>
      </c>
      <c r="B27" s="8">
        <v>2.25</v>
      </c>
      <c r="C27" s="9">
        <f t="shared" si="0"/>
        <v>1.4522249999999999</v>
      </c>
      <c r="D27" s="8">
        <f t="shared" si="1"/>
        <v>0.49300000000000005</v>
      </c>
      <c r="E27" s="8">
        <f t="shared" si="2"/>
        <v>-0.16799999999999998</v>
      </c>
      <c r="F27" s="8">
        <f t="shared" si="3"/>
        <v>1.7772250000000001</v>
      </c>
      <c r="G27" s="9">
        <f t="shared" si="4"/>
        <v>0.78987777777777779</v>
      </c>
      <c r="H27" s="10">
        <v>0.72750000000000004</v>
      </c>
      <c r="I27" s="13"/>
      <c r="J27" s="8">
        <f t="shared" si="5"/>
        <v>0.72750000000000004</v>
      </c>
      <c r="K27" s="5"/>
      <c r="L27" s="5"/>
      <c r="M27" s="19"/>
      <c r="N27" s="21"/>
      <c r="O27" s="13"/>
      <c r="P27" s="13"/>
      <c r="Q27" s="13"/>
    </row>
    <row r="28" spans="1:17" ht="18.75" customHeight="1" x14ac:dyDescent="0.35">
      <c r="A28" s="8">
        <v>6</v>
      </c>
      <c r="B28" s="8">
        <v>2.3479999999999999</v>
      </c>
      <c r="C28" s="9">
        <f t="shared" si="0"/>
        <v>1.3667999999999998</v>
      </c>
      <c r="D28" s="8">
        <f t="shared" si="1"/>
        <v>0.46400000000000002</v>
      </c>
      <c r="E28" s="8">
        <f t="shared" si="2"/>
        <v>-0.16799999999999998</v>
      </c>
      <c r="F28" s="8">
        <f t="shared" si="3"/>
        <v>1.6627999999999998</v>
      </c>
      <c r="G28" s="9">
        <f t="shared" si="4"/>
        <v>0.7081771720613288</v>
      </c>
      <c r="H28" s="10">
        <v>0.67900000000000005</v>
      </c>
      <c r="I28" s="13"/>
      <c r="J28" s="8">
        <f t="shared" si="5"/>
        <v>0.67900000000000005</v>
      </c>
      <c r="K28" s="5"/>
      <c r="L28" s="22"/>
      <c r="M28" s="19"/>
      <c r="N28" s="21"/>
      <c r="O28" s="13"/>
      <c r="P28" s="13"/>
      <c r="Q28" s="13"/>
    </row>
    <row r="29" spans="1:17" ht="18.75" customHeight="1" x14ac:dyDescent="0.35">
      <c r="A29" s="8">
        <v>7</v>
      </c>
      <c r="B29" s="8">
        <v>2.4460000000000002</v>
      </c>
      <c r="C29" s="9">
        <f t="shared" si="0"/>
        <v>1.2813749999999997</v>
      </c>
      <c r="D29" s="8">
        <f t="shared" si="1"/>
        <v>0.435</v>
      </c>
      <c r="E29" s="8">
        <f t="shared" si="2"/>
        <v>-0.16799999999999998</v>
      </c>
      <c r="F29" s="8">
        <f t="shared" si="3"/>
        <v>1.5483749999999998</v>
      </c>
      <c r="G29" s="9">
        <f t="shared" si="4"/>
        <v>0.63302330335241197</v>
      </c>
      <c r="H29" s="10">
        <v>0.63050000000000006</v>
      </c>
      <c r="I29" s="13"/>
      <c r="J29" s="8">
        <f t="shared" si="5"/>
        <v>0.63050000000000006</v>
      </c>
      <c r="K29" s="5"/>
      <c r="L29" s="5"/>
      <c r="M29" s="19"/>
      <c r="N29" s="21"/>
      <c r="O29" s="13"/>
      <c r="P29" s="13"/>
      <c r="Q29" s="13"/>
    </row>
    <row r="30" spans="1:17" ht="18.75" customHeight="1" x14ac:dyDescent="0.35">
      <c r="A30" s="8">
        <v>8</v>
      </c>
      <c r="B30" s="8">
        <v>2.544</v>
      </c>
      <c r="C30" s="9">
        <f t="shared" si="0"/>
        <v>1.1959499999999998</v>
      </c>
      <c r="D30" s="8">
        <f t="shared" si="1"/>
        <v>0.40600000000000003</v>
      </c>
      <c r="E30" s="8">
        <f t="shared" si="2"/>
        <v>-0.16799999999999998</v>
      </c>
      <c r="F30" s="8">
        <f t="shared" si="3"/>
        <v>1.4339500000000001</v>
      </c>
      <c r="G30" s="9">
        <f t="shared" si="4"/>
        <v>0.56365959119496856</v>
      </c>
      <c r="H30" s="10">
        <v>0.58200000000000007</v>
      </c>
      <c r="I30" s="13"/>
      <c r="J30" s="8">
        <f t="shared" si="5"/>
        <v>0.58200000000000007</v>
      </c>
      <c r="K30" s="5"/>
      <c r="L30" s="5"/>
      <c r="M30" s="19"/>
      <c r="N30" s="21"/>
      <c r="O30" s="13"/>
      <c r="P30" s="13"/>
      <c r="Q30" s="13"/>
    </row>
    <row r="31" spans="1:17" ht="18.75" customHeight="1" x14ac:dyDescent="0.35">
      <c r="A31" s="8">
        <v>9</v>
      </c>
      <c r="B31" s="8">
        <v>2.641999999999999</v>
      </c>
      <c r="C31" s="9">
        <f t="shared" si="0"/>
        <v>1.1105249999999998</v>
      </c>
      <c r="D31" s="8">
        <f t="shared" si="1"/>
        <v>0.377</v>
      </c>
      <c r="E31" s="8">
        <f t="shared" si="2"/>
        <v>-0.16799999999999998</v>
      </c>
      <c r="F31" s="8">
        <f t="shared" si="3"/>
        <v>1.3195249999999998</v>
      </c>
      <c r="G31" s="9">
        <f t="shared" si="4"/>
        <v>0.49944171082513261</v>
      </c>
      <c r="H31" s="10">
        <v>0.53349999999999997</v>
      </c>
      <c r="I31" s="13"/>
      <c r="J31" s="8">
        <f t="shared" si="5"/>
        <v>0.53349999999999997</v>
      </c>
      <c r="K31" s="5"/>
      <c r="L31" s="5"/>
      <c r="M31" s="19"/>
      <c r="N31" s="21"/>
      <c r="O31" s="13"/>
      <c r="P31" s="13"/>
      <c r="Q31" s="13"/>
    </row>
    <row r="32" spans="1:17" ht="18.75" customHeight="1" x14ac:dyDescent="0.35">
      <c r="A32" s="8">
        <v>10</v>
      </c>
      <c r="B32" s="8">
        <v>2.74</v>
      </c>
      <c r="C32" s="9">
        <f t="shared" si="0"/>
        <v>1.0250999999999999</v>
      </c>
      <c r="D32" s="8">
        <f t="shared" si="1"/>
        <v>0.34800000000000003</v>
      </c>
      <c r="E32" s="8">
        <f t="shared" si="2"/>
        <v>-0.16799999999999998</v>
      </c>
      <c r="F32" s="8">
        <f t="shared" si="3"/>
        <v>1.2051000000000001</v>
      </c>
      <c r="G32" s="9">
        <f t="shared" si="4"/>
        <v>0.43981751824817517</v>
      </c>
      <c r="H32" s="10">
        <v>0.48499999999999999</v>
      </c>
      <c r="I32" s="13"/>
      <c r="J32" s="8">
        <f t="shared" si="5"/>
        <v>0.48499999999999999</v>
      </c>
      <c r="K32" s="5"/>
      <c r="L32" s="5"/>
      <c r="M32" s="19"/>
      <c r="N32" s="21"/>
      <c r="O32" s="13"/>
      <c r="P32" s="13"/>
      <c r="Q32" s="13"/>
    </row>
    <row r="33" spans="1:17" ht="18.75" customHeight="1" x14ac:dyDescent="0.35">
      <c r="A33" s="8">
        <v>11</v>
      </c>
      <c r="B33" s="8">
        <v>2.79</v>
      </c>
      <c r="C33" s="9">
        <f t="shared" si="0"/>
        <v>0.93967499999999982</v>
      </c>
      <c r="D33" s="8">
        <f t="shared" si="1"/>
        <v>0.31900000000000001</v>
      </c>
      <c r="E33" s="8">
        <f t="shared" si="2"/>
        <v>-0.16799999999999998</v>
      </c>
      <c r="F33" s="8">
        <f t="shared" si="3"/>
        <v>1.0906749999999998</v>
      </c>
      <c r="G33" s="9">
        <f t="shared" si="4"/>
        <v>0.39092293906810027</v>
      </c>
      <c r="H33" s="10">
        <v>0.4365</v>
      </c>
      <c r="I33" s="13"/>
      <c r="J33" s="8">
        <f t="shared" si="5"/>
        <v>0.4365</v>
      </c>
      <c r="K33" s="5"/>
      <c r="L33" s="5"/>
      <c r="M33" s="19"/>
      <c r="N33" s="21"/>
      <c r="O33" s="13"/>
      <c r="P33" s="13"/>
      <c r="Q33" s="13"/>
    </row>
    <row r="34" spans="1:17" ht="18.75" customHeight="1" x14ac:dyDescent="0.35">
      <c r="A34" s="8">
        <v>12</v>
      </c>
      <c r="B34" s="8">
        <v>2.84</v>
      </c>
      <c r="C34" s="9">
        <f t="shared" ref="C34:C62" si="6">$N$3*$M$8*($M$9-A34)</f>
        <v>0.85424999999999984</v>
      </c>
      <c r="D34" s="8">
        <f t="shared" ref="D34:D62" si="7">$M$7/1000*($M$9-A34)</f>
        <v>0.29000000000000004</v>
      </c>
      <c r="E34" s="8">
        <f t="shared" ref="E34:E62" si="8">-120/1000*1.4</f>
        <v>-0.16799999999999998</v>
      </c>
      <c r="F34" s="8">
        <f t="shared" ref="F34:F65" si="9">SUM(C34:E34)</f>
        <v>0.97625000000000006</v>
      </c>
      <c r="G34" s="9">
        <f t="shared" ref="G34:G65" si="10">F34/B34</f>
        <v>0.34375000000000006</v>
      </c>
      <c r="H34" s="10">
        <v>0.38800000000000001</v>
      </c>
      <c r="I34" s="13"/>
      <c r="J34" s="8">
        <f t="shared" ref="J34:J65" si="11">SUM(H34:I34)</f>
        <v>0.38800000000000001</v>
      </c>
      <c r="K34" s="5"/>
      <c r="L34" s="5"/>
      <c r="M34" s="19"/>
      <c r="N34" s="21"/>
      <c r="O34" s="13"/>
      <c r="P34" s="13"/>
      <c r="Q34" s="13"/>
    </row>
    <row r="35" spans="1:17" ht="18.75" customHeight="1" x14ac:dyDescent="0.35">
      <c r="A35" s="8">
        <v>13</v>
      </c>
      <c r="B35" s="8">
        <v>2.89</v>
      </c>
      <c r="C35" s="9">
        <f t="shared" si="6"/>
        <v>0.76882499999999987</v>
      </c>
      <c r="D35" s="8">
        <f t="shared" si="7"/>
        <v>0.26100000000000001</v>
      </c>
      <c r="E35" s="8">
        <f t="shared" si="8"/>
        <v>-0.16799999999999998</v>
      </c>
      <c r="F35" s="8">
        <f t="shared" si="9"/>
        <v>0.86182499999999984</v>
      </c>
      <c r="G35" s="9">
        <f t="shared" si="10"/>
        <v>0.29820934256055359</v>
      </c>
      <c r="H35" s="10">
        <v>0.33950000000000002</v>
      </c>
      <c r="I35" s="13"/>
      <c r="J35" s="8">
        <f t="shared" si="11"/>
        <v>0.33950000000000002</v>
      </c>
      <c r="K35" s="5"/>
      <c r="L35" s="5"/>
      <c r="M35" s="19"/>
      <c r="N35" s="21"/>
      <c r="O35" s="13"/>
      <c r="P35" s="13"/>
      <c r="Q35" s="13"/>
    </row>
    <row r="36" spans="1:17" ht="18.75" customHeight="1" x14ac:dyDescent="0.35">
      <c r="A36" s="8">
        <v>14</v>
      </c>
      <c r="B36" s="8">
        <v>2.94</v>
      </c>
      <c r="C36" s="9">
        <f t="shared" si="6"/>
        <v>0.6833999999999999</v>
      </c>
      <c r="D36" s="8">
        <f t="shared" si="7"/>
        <v>0.23200000000000001</v>
      </c>
      <c r="E36" s="8">
        <f t="shared" si="8"/>
        <v>-0.16799999999999998</v>
      </c>
      <c r="F36" s="8">
        <f t="shared" si="9"/>
        <v>0.74739999999999984</v>
      </c>
      <c r="G36" s="9">
        <f t="shared" si="10"/>
        <v>0.25421768707482989</v>
      </c>
      <c r="H36" s="10">
        <v>0.29099999999999998</v>
      </c>
      <c r="I36" s="13"/>
      <c r="J36" s="8">
        <f t="shared" si="11"/>
        <v>0.29099999999999998</v>
      </c>
      <c r="K36" s="5"/>
      <c r="L36" s="5"/>
      <c r="M36" s="19"/>
      <c r="N36" s="21"/>
      <c r="O36" s="13"/>
      <c r="P36" s="13"/>
      <c r="Q36" s="13"/>
    </row>
    <row r="37" spans="1:17" ht="18.75" customHeight="1" x14ac:dyDescent="0.35">
      <c r="A37" s="8">
        <v>15</v>
      </c>
      <c r="B37" s="8">
        <v>2.9899999999999989</v>
      </c>
      <c r="C37" s="9">
        <f t="shared" si="6"/>
        <v>0.59797499999999992</v>
      </c>
      <c r="D37" s="8">
        <f t="shared" si="7"/>
        <v>0.20300000000000001</v>
      </c>
      <c r="E37" s="8">
        <f t="shared" si="8"/>
        <v>-0.16799999999999998</v>
      </c>
      <c r="F37" s="8">
        <f t="shared" si="9"/>
        <v>0.63297500000000007</v>
      </c>
      <c r="G37" s="9">
        <f t="shared" si="10"/>
        <v>0.21169732441471581</v>
      </c>
      <c r="H37" s="10">
        <v>0.24249999999999999</v>
      </c>
      <c r="I37" s="13"/>
      <c r="J37" s="8">
        <f t="shared" si="11"/>
        <v>0.24249999999999999</v>
      </c>
      <c r="K37" s="5"/>
      <c r="L37" s="5"/>
      <c r="M37" s="19"/>
      <c r="N37" s="21"/>
      <c r="O37" s="13"/>
      <c r="P37" s="13"/>
      <c r="Q37" s="13"/>
    </row>
    <row r="38" spans="1:17" ht="18.75" customHeight="1" x14ac:dyDescent="0.35">
      <c r="A38" s="8">
        <v>16</v>
      </c>
      <c r="B38" s="8">
        <v>3.0399999999999991</v>
      </c>
      <c r="C38" s="9">
        <f t="shared" si="6"/>
        <v>0.51254999999999995</v>
      </c>
      <c r="D38" s="8">
        <f t="shared" si="7"/>
        <v>0.17400000000000002</v>
      </c>
      <c r="E38" s="8">
        <f t="shared" si="8"/>
        <v>-0.16799999999999998</v>
      </c>
      <c r="F38" s="8">
        <f t="shared" si="9"/>
        <v>0.51855000000000007</v>
      </c>
      <c r="G38" s="9">
        <f t="shared" si="10"/>
        <v>0.17057565789473692</v>
      </c>
      <c r="H38" s="10">
        <v>0.19400000000000001</v>
      </c>
      <c r="I38" s="13"/>
      <c r="J38" s="8">
        <f t="shared" si="11"/>
        <v>0.19400000000000001</v>
      </c>
      <c r="K38" s="5"/>
      <c r="L38" s="5"/>
      <c r="M38" s="19"/>
      <c r="N38" s="21"/>
      <c r="O38" s="13"/>
      <c r="P38" s="13"/>
      <c r="Q38" s="13"/>
    </row>
    <row r="39" spans="1:17" ht="18.75" customHeight="1" x14ac:dyDescent="0.35">
      <c r="A39" s="8">
        <v>17</v>
      </c>
      <c r="B39" s="8">
        <v>3.089999999999999</v>
      </c>
      <c r="C39" s="9">
        <f t="shared" si="6"/>
        <v>0.42712499999999992</v>
      </c>
      <c r="D39" s="8">
        <f t="shared" si="7"/>
        <v>0.14500000000000002</v>
      </c>
      <c r="E39" s="8">
        <f t="shared" si="8"/>
        <v>-0.16799999999999998</v>
      </c>
      <c r="F39" s="8">
        <f t="shared" si="9"/>
        <v>0.40412500000000001</v>
      </c>
      <c r="G39" s="9">
        <f t="shared" si="10"/>
        <v>0.13078478964401299</v>
      </c>
      <c r="H39" s="10">
        <v>0.14549999999999999</v>
      </c>
      <c r="I39" s="13"/>
      <c r="J39" s="8">
        <f t="shared" si="11"/>
        <v>0.14549999999999999</v>
      </c>
      <c r="K39" s="5"/>
      <c r="L39" s="5"/>
      <c r="M39" s="19"/>
      <c r="N39" s="21"/>
      <c r="O39" s="13"/>
      <c r="P39" s="13"/>
      <c r="Q39" s="13"/>
    </row>
    <row r="40" spans="1:17" ht="18.75" customHeight="1" x14ac:dyDescent="0.35">
      <c r="A40" s="8">
        <v>18</v>
      </c>
      <c r="B40" s="8">
        <v>3.1399999999999988</v>
      </c>
      <c r="C40" s="9">
        <f t="shared" si="6"/>
        <v>0.34169999999999995</v>
      </c>
      <c r="D40" s="8">
        <f t="shared" si="7"/>
        <v>0.11600000000000001</v>
      </c>
      <c r="E40" s="8">
        <f t="shared" si="8"/>
        <v>-0.16799999999999998</v>
      </c>
      <c r="F40" s="8">
        <f t="shared" si="9"/>
        <v>0.28969999999999996</v>
      </c>
      <c r="G40" s="9">
        <f t="shared" si="10"/>
        <v>9.2261146496815313E-2</v>
      </c>
      <c r="H40" s="10">
        <v>9.7000000000000003E-2</v>
      </c>
      <c r="I40" s="13"/>
      <c r="J40" s="8">
        <f t="shared" si="11"/>
        <v>9.7000000000000003E-2</v>
      </c>
      <c r="K40" s="5"/>
      <c r="L40" s="5"/>
      <c r="M40" s="19"/>
      <c r="N40" s="21"/>
      <c r="O40" s="13"/>
      <c r="P40" s="13"/>
      <c r="Q40" s="13"/>
    </row>
    <row r="41" spans="1:17" ht="18.75" customHeight="1" x14ac:dyDescent="0.35">
      <c r="A41" s="8">
        <v>19</v>
      </c>
      <c r="B41" s="8">
        <v>3.1899999999999991</v>
      </c>
      <c r="C41" s="9">
        <f t="shared" si="6"/>
        <v>0.25627499999999998</v>
      </c>
      <c r="D41" s="8">
        <f t="shared" si="7"/>
        <v>8.7000000000000008E-2</v>
      </c>
      <c r="E41" s="8">
        <f t="shared" si="8"/>
        <v>-0.16799999999999998</v>
      </c>
      <c r="F41" s="8">
        <f t="shared" si="9"/>
        <v>0.17527500000000001</v>
      </c>
      <c r="G41" s="9">
        <f t="shared" si="10"/>
        <v>5.494514106583074E-2</v>
      </c>
      <c r="H41" s="10">
        <v>4.8500000000000001E-2</v>
      </c>
      <c r="I41" s="13"/>
      <c r="J41" s="8">
        <f t="shared" si="11"/>
        <v>4.8500000000000001E-2</v>
      </c>
      <c r="K41" s="5"/>
      <c r="L41" s="5"/>
      <c r="M41" s="19"/>
      <c r="N41" s="21"/>
      <c r="O41" s="13"/>
      <c r="P41" s="13"/>
      <c r="Q41" s="13"/>
    </row>
    <row r="42" spans="1:17" ht="18.75" customHeight="1" x14ac:dyDescent="0.35">
      <c r="A42" s="8">
        <v>20</v>
      </c>
      <c r="B42" s="8">
        <v>3.2</v>
      </c>
      <c r="C42" s="9">
        <f t="shared" si="6"/>
        <v>0.17084999999999997</v>
      </c>
      <c r="D42" s="8">
        <f t="shared" si="7"/>
        <v>5.8000000000000003E-2</v>
      </c>
      <c r="E42" s="8">
        <f t="shared" si="8"/>
        <v>-0.16799999999999998</v>
      </c>
      <c r="F42" s="8">
        <f t="shared" si="9"/>
        <v>6.0849999999999987E-2</v>
      </c>
      <c r="G42" s="9">
        <f t="shared" si="10"/>
        <v>1.9015624999999994E-2</v>
      </c>
      <c r="H42" s="10">
        <v>0</v>
      </c>
      <c r="I42" s="13"/>
      <c r="J42" s="8">
        <f t="shared" si="11"/>
        <v>0</v>
      </c>
      <c r="K42" s="5"/>
      <c r="L42" s="5"/>
      <c r="M42" s="19"/>
      <c r="N42" s="21"/>
      <c r="O42" s="13"/>
      <c r="P42" s="13"/>
      <c r="Q42" s="13"/>
    </row>
    <row r="43" spans="1:17" ht="18.75" customHeight="1" x14ac:dyDescent="0.35">
      <c r="A43" s="8">
        <v>21</v>
      </c>
      <c r="B43" s="8">
        <v>3.08</v>
      </c>
      <c r="C43" s="9">
        <f t="shared" si="6"/>
        <v>8.5424999999999987E-2</v>
      </c>
      <c r="D43" s="8">
        <f t="shared" si="7"/>
        <v>2.9000000000000001E-2</v>
      </c>
      <c r="E43" s="8">
        <f t="shared" si="8"/>
        <v>-0.16799999999999998</v>
      </c>
      <c r="F43" s="8">
        <f t="shared" si="9"/>
        <v>-5.3574999999999998E-2</v>
      </c>
      <c r="G43" s="9">
        <f t="shared" si="10"/>
        <v>-1.7394480519480518E-2</v>
      </c>
      <c r="H43" s="10">
        <v>4.2000000000000003E-2</v>
      </c>
      <c r="I43" s="13"/>
      <c r="J43" s="8">
        <f t="shared" si="11"/>
        <v>4.2000000000000003E-2</v>
      </c>
      <c r="K43" s="5"/>
      <c r="L43" s="5"/>
      <c r="M43" s="19"/>
      <c r="N43" s="21"/>
      <c r="O43" s="13"/>
      <c r="P43" s="13"/>
      <c r="Q43" s="13"/>
    </row>
    <row r="44" spans="1:17" ht="18.75" customHeight="1" x14ac:dyDescent="0.35">
      <c r="A44" s="8">
        <v>22</v>
      </c>
      <c r="B44" s="8">
        <v>2.96</v>
      </c>
      <c r="C44" s="9">
        <f t="shared" si="6"/>
        <v>0</v>
      </c>
      <c r="D44" s="8">
        <f t="shared" si="7"/>
        <v>0</v>
      </c>
      <c r="E44" s="8">
        <f t="shared" si="8"/>
        <v>-0.16799999999999998</v>
      </c>
      <c r="F44" s="8">
        <f t="shared" si="9"/>
        <v>-0.16799999999999998</v>
      </c>
      <c r="G44" s="9">
        <f t="shared" si="10"/>
        <v>-5.6756756756756753E-2</v>
      </c>
      <c r="H44" s="10">
        <v>8.4000000000000005E-2</v>
      </c>
      <c r="I44" s="13"/>
      <c r="J44" s="8">
        <f t="shared" si="11"/>
        <v>8.4000000000000005E-2</v>
      </c>
      <c r="K44" s="5"/>
      <c r="L44" s="5"/>
      <c r="M44" s="19"/>
      <c r="N44" s="21"/>
      <c r="O44" s="13"/>
      <c r="P44" s="13"/>
      <c r="Q44" s="13"/>
    </row>
    <row r="45" spans="1:17" ht="18.75" customHeight="1" x14ac:dyDescent="0.35">
      <c r="A45" s="8">
        <v>23</v>
      </c>
      <c r="B45" s="8">
        <v>3.6</v>
      </c>
      <c r="C45" s="9">
        <f t="shared" si="6"/>
        <v>-8.5424999999999987E-2</v>
      </c>
      <c r="D45" s="8">
        <f t="shared" si="7"/>
        <v>-2.9000000000000001E-2</v>
      </c>
      <c r="E45" s="8">
        <f t="shared" si="8"/>
        <v>-0.16799999999999998</v>
      </c>
      <c r="F45" s="8">
        <f t="shared" si="9"/>
        <v>-0.28242499999999998</v>
      </c>
      <c r="G45" s="9">
        <f t="shared" si="10"/>
        <v>-7.8451388888888876E-2</v>
      </c>
      <c r="H45" s="10">
        <v>0.126</v>
      </c>
      <c r="I45" s="13"/>
      <c r="J45" s="8">
        <f t="shared" si="11"/>
        <v>0.126</v>
      </c>
      <c r="K45" s="5"/>
      <c r="L45" s="5"/>
      <c r="M45" s="19"/>
      <c r="N45" s="21"/>
      <c r="O45" s="13"/>
      <c r="P45" s="13"/>
      <c r="Q45" s="13"/>
    </row>
    <row r="46" spans="1:17" ht="18.75" customHeight="1" x14ac:dyDescent="0.35">
      <c r="A46" s="8">
        <v>24</v>
      </c>
      <c r="B46" s="8">
        <v>3.4666666666666668</v>
      </c>
      <c r="C46" s="9">
        <f t="shared" si="6"/>
        <v>-0.17084999999999997</v>
      </c>
      <c r="D46" s="8">
        <f t="shared" si="7"/>
        <v>-5.8000000000000003E-2</v>
      </c>
      <c r="E46" s="8">
        <f t="shared" si="8"/>
        <v>-0.16799999999999998</v>
      </c>
      <c r="F46" s="8">
        <f t="shared" si="9"/>
        <v>-0.39684999999999993</v>
      </c>
      <c r="G46" s="9">
        <f t="shared" si="10"/>
        <v>-0.11447596153846151</v>
      </c>
      <c r="H46" s="10">
        <v>0.16800000000000001</v>
      </c>
      <c r="I46" s="13"/>
      <c r="J46" s="8">
        <f t="shared" si="11"/>
        <v>0.16800000000000001</v>
      </c>
      <c r="K46" s="5"/>
      <c r="L46" s="5"/>
      <c r="M46" s="19"/>
      <c r="N46" s="21"/>
      <c r="O46" s="13"/>
      <c r="P46" s="13"/>
      <c r="Q46" s="13"/>
    </row>
    <row r="47" spans="1:17" ht="18.75" customHeight="1" x14ac:dyDescent="0.35">
      <c r="A47" s="8">
        <v>25</v>
      </c>
      <c r="B47" s="8">
        <v>3.333333333333333</v>
      </c>
      <c r="C47" s="9">
        <f t="shared" si="6"/>
        <v>-0.25627499999999998</v>
      </c>
      <c r="D47" s="8">
        <f t="shared" si="7"/>
        <v>-8.7000000000000008E-2</v>
      </c>
      <c r="E47" s="8">
        <f t="shared" si="8"/>
        <v>-0.16799999999999998</v>
      </c>
      <c r="F47" s="8">
        <f t="shared" si="9"/>
        <v>-0.51127499999999992</v>
      </c>
      <c r="G47" s="9">
        <f t="shared" si="10"/>
        <v>-0.15338249999999998</v>
      </c>
      <c r="H47" s="10">
        <v>0.21</v>
      </c>
      <c r="I47" s="13"/>
      <c r="J47" s="8">
        <f t="shared" si="11"/>
        <v>0.21</v>
      </c>
      <c r="K47" s="5"/>
      <c r="L47" s="5"/>
      <c r="M47" s="19"/>
      <c r="N47" s="21"/>
      <c r="O47" s="13"/>
      <c r="P47" s="13"/>
      <c r="Q47" s="13"/>
    </row>
    <row r="48" spans="1:17" ht="18.75" customHeight="1" x14ac:dyDescent="0.35">
      <c r="A48" s="8">
        <v>26</v>
      </c>
      <c r="B48" s="8">
        <v>3.2</v>
      </c>
      <c r="C48" s="9">
        <f t="shared" si="6"/>
        <v>-0.34169999999999995</v>
      </c>
      <c r="D48" s="8">
        <f t="shared" si="7"/>
        <v>-0.11600000000000001</v>
      </c>
      <c r="E48" s="8">
        <f t="shared" si="8"/>
        <v>-0.16799999999999998</v>
      </c>
      <c r="F48" s="8">
        <f t="shared" si="9"/>
        <v>-0.62569999999999992</v>
      </c>
      <c r="G48" s="9">
        <f t="shared" si="10"/>
        <v>-0.19553124999999996</v>
      </c>
      <c r="H48" s="10">
        <v>0.252</v>
      </c>
      <c r="I48" s="13"/>
      <c r="J48" s="8">
        <f t="shared" si="11"/>
        <v>0.252</v>
      </c>
      <c r="K48" s="5"/>
      <c r="L48" s="5"/>
      <c r="M48" s="19"/>
      <c r="N48" s="21"/>
      <c r="O48" s="13"/>
      <c r="P48" s="13"/>
      <c r="Q48" s="13"/>
    </row>
    <row r="49" spans="1:17" ht="18.75" customHeight="1" x14ac:dyDescent="0.35">
      <c r="A49" s="8">
        <v>27</v>
      </c>
      <c r="B49" s="8">
        <v>3.0666666666666669</v>
      </c>
      <c r="C49" s="9">
        <f t="shared" si="6"/>
        <v>-0.42712499999999992</v>
      </c>
      <c r="D49" s="8">
        <f t="shared" si="7"/>
        <v>-0.14500000000000002</v>
      </c>
      <c r="E49" s="8">
        <f t="shared" si="8"/>
        <v>-0.16799999999999998</v>
      </c>
      <c r="F49" s="8">
        <f t="shared" si="9"/>
        <v>-0.74012499999999992</v>
      </c>
      <c r="G49" s="9">
        <f t="shared" si="10"/>
        <v>-0.24134510869565212</v>
      </c>
      <c r="H49" s="10">
        <v>0.29399999999999998</v>
      </c>
      <c r="I49" s="13"/>
      <c r="J49" s="8">
        <f t="shared" si="11"/>
        <v>0.29399999999999998</v>
      </c>
      <c r="K49" s="5"/>
      <c r="L49" s="5"/>
      <c r="M49" s="19"/>
      <c r="N49" s="21"/>
      <c r="O49" s="13"/>
      <c r="P49" s="13"/>
      <c r="Q49" s="13"/>
    </row>
    <row r="50" spans="1:17" ht="18.75" customHeight="1" x14ac:dyDescent="0.35">
      <c r="A50" s="8">
        <v>28</v>
      </c>
      <c r="B50" s="8">
        <v>2.933333333333334</v>
      </c>
      <c r="C50" s="9">
        <f t="shared" si="6"/>
        <v>-0.51254999999999995</v>
      </c>
      <c r="D50" s="8">
        <f t="shared" si="7"/>
        <v>-0.17400000000000002</v>
      </c>
      <c r="E50" s="8">
        <f t="shared" si="8"/>
        <v>-0.16799999999999998</v>
      </c>
      <c r="F50" s="8">
        <f t="shared" si="9"/>
        <v>-0.85454999999999992</v>
      </c>
      <c r="G50" s="9">
        <f t="shared" si="10"/>
        <v>-0.29132386363636353</v>
      </c>
      <c r="H50" s="10">
        <v>0.33600000000000002</v>
      </c>
      <c r="I50" s="13"/>
      <c r="J50" s="8">
        <f t="shared" si="11"/>
        <v>0.33600000000000002</v>
      </c>
      <c r="K50" s="5"/>
      <c r="L50" s="5"/>
      <c r="M50" s="19"/>
      <c r="N50" s="21"/>
      <c r="O50" s="13"/>
      <c r="P50" s="13"/>
      <c r="Q50" s="13"/>
    </row>
    <row r="51" spans="1:17" ht="18.75" customHeight="1" x14ac:dyDescent="0.35">
      <c r="A51" s="8">
        <v>29</v>
      </c>
      <c r="B51" s="8">
        <v>2.8</v>
      </c>
      <c r="C51" s="9">
        <f t="shared" si="6"/>
        <v>-0.59797499999999992</v>
      </c>
      <c r="D51" s="8">
        <f t="shared" si="7"/>
        <v>-0.20300000000000001</v>
      </c>
      <c r="E51" s="8">
        <f t="shared" si="8"/>
        <v>-0.16799999999999998</v>
      </c>
      <c r="F51" s="8">
        <f t="shared" si="9"/>
        <v>-0.96897499999999992</v>
      </c>
      <c r="G51" s="9">
        <f t="shared" si="10"/>
        <v>-0.3460625</v>
      </c>
      <c r="H51" s="10">
        <v>0.378</v>
      </c>
      <c r="I51" s="13"/>
      <c r="J51" s="8">
        <f t="shared" si="11"/>
        <v>0.378</v>
      </c>
      <c r="K51" s="5"/>
      <c r="L51" s="5"/>
      <c r="M51" s="19"/>
      <c r="N51" s="21"/>
      <c r="O51" s="13"/>
      <c r="P51" s="13"/>
      <c r="Q51" s="13"/>
    </row>
    <row r="52" spans="1:17" ht="18.75" customHeight="1" x14ac:dyDescent="0.35">
      <c r="A52" s="8">
        <v>30</v>
      </c>
      <c r="B52" s="8">
        <v>2.666666666666667</v>
      </c>
      <c r="C52" s="9">
        <f t="shared" si="6"/>
        <v>-0.6833999999999999</v>
      </c>
      <c r="D52" s="8">
        <f t="shared" si="7"/>
        <v>-0.23200000000000001</v>
      </c>
      <c r="E52" s="8">
        <f t="shared" si="8"/>
        <v>-0.16799999999999998</v>
      </c>
      <c r="F52" s="8">
        <f t="shared" si="9"/>
        <v>-1.0833999999999999</v>
      </c>
      <c r="G52" s="9">
        <f t="shared" si="10"/>
        <v>-0.40627499999999994</v>
      </c>
      <c r="H52" s="10">
        <v>0.42</v>
      </c>
      <c r="I52" s="13"/>
      <c r="J52" s="8">
        <f t="shared" si="11"/>
        <v>0.42</v>
      </c>
      <c r="K52" s="5"/>
      <c r="L52" s="5"/>
      <c r="M52" s="19"/>
      <c r="N52" s="21"/>
      <c r="O52" s="13"/>
      <c r="P52" s="13"/>
      <c r="Q52" s="13"/>
    </row>
    <row r="53" spans="1:17" ht="18.75" customHeight="1" x14ac:dyDescent="0.35">
      <c r="A53" s="8">
        <v>31</v>
      </c>
      <c r="B53" s="8">
        <v>2.5333333333333341</v>
      </c>
      <c r="C53" s="9">
        <f t="shared" si="6"/>
        <v>-0.76882499999999987</v>
      </c>
      <c r="D53" s="8">
        <f t="shared" si="7"/>
        <v>-0.26100000000000001</v>
      </c>
      <c r="E53" s="8">
        <f t="shared" si="8"/>
        <v>-0.16799999999999998</v>
      </c>
      <c r="F53" s="8">
        <f t="shared" si="9"/>
        <v>-1.1978249999999997</v>
      </c>
      <c r="G53" s="9">
        <f t="shared" si="10"/>
        <v>-0.47282565789473657</v>
      </c>
      <c r="H53" s="10">
        <v>0.46200000000000002</v>
      </c>
      <c r="I53" s="13"/>
      <c r="J53" s="8">
        <f t="shared" si="11"/>
        <v>0.46200000000000002</v>
      </c>
      <c r="K53" s="5"/>
      <c r="L53" s="5"/>
      <c r="M53" s="19"/>
      <c r="N53" s="21"/>
      <c r="O53" s="13"/>
      <c r="P53" s="13"/>
      <c r="Q53" s="13"/>
    </row>
    <row r="54" spans="1:17" ht="18.75" customHeight="1" x14ac:dyDescent="0.35">
      <c r="A54" s="8">
        <v>32</v>
      </c>
      <c r="B54" s="8">
        <v>2.4</v>
      </c>
      <c r="C54" s="9">
        <f t="shared" si="6"/>
        <v>-0.85424999999999984</v>
      </c>
      <c r="D54" s="8">
        <f t="shared" si="7"/>
        <v>-0.29000000000000004</v>
      </c>
      <c r="E54" s="8">
        <f t="shared" si="8"/>
        <v>-0.16799999999999998</v>
      </c>
      <c r="F54" s="8">
        <f t="shared" si="9"/>
        <v>-1.3122499999999999</v>
      </c>
      <c r="G54" s="9">
        <f t="shared" si="10"/>
        <v>-0.54677083333333332</v>
      </c>
      <c r="H54" s="10">
        <v>0.504</v>
      </c>
      <c r="I54" s="13"/>
      <c r="J54" s="8">
        <f t="shared" si="11"/>
        <v>0.504</v>
      </c>
      <c r="K54" s="5"/>
      <c r="L54" s="5"/>
      <c r="M54" s="19"/>
      <c r="N54" s="21"/>
      <c r="O54" s="13"/>
      <c r="P54" s="13"/>
      <c r="Q54" s="13"/>
    </row>
    <row r="55" spans="1:17" ht="18.75" customHeight="1" x14ac:dyDescent="0.35">
      <c r="A55" s="8">
        <v>33</v>
      </c>
      <c r="B55" s="8">
        <v>2.2666666666666671</v>
      </c>
      <c r="C55" s="9">
        <f t="shared" si="6"/>
        <v>-0.93967499999999982</v>
      </c>
      <c r="D55" s="8">
        <f t="shared" si="7"/>
        <v>-0.31900000000000001</v>
      </c>
      <c r="E55" s="8">
        <f t="shared" si="8"/>
        <v>-0.16799999999999998</v>
      </c>
      <c r="F55" s="8">
        <f t="shared" si="9"/>
        <v>-1.4266749999999997</v>
      </c>
      <c r="G55" s="9">
        <f t="shared" si="10"/>
        <v>-0.6294154411764703</v>
      </c>
      <c r="H55" s="10">
        <v>0.54600000000000004</v>
      </c>
      <c r="I55" s="13"/>
      <c r="J55" s="8">
        <f t="shared" si="11"/>
        <v>0.54600000000000004</v>
      </c>
      <c r="K55" s="5"/>
      <c r="L55" s="5"/>
      <c r="M55" s="19"/>
      <c r="N55" s="21"/>
      <c r="O55" s="13"/>
      <c r="P55" s="13"/>
      <c r="Q55" s="13"/>
    </row>
    <row r="56" spans="1:17" ht="18.75" customHeight="1" x14ac:dyDescent="0.35">
      <c r="A56" s="8">
        <v>34</v>
      </c>
      <c r="B56" s="8">
        <v>2.1333333333333342</v>
      </c>
      <c r="C56" s="9">
        <f t="shared" si="6"/>
        <v>-1.0250999999999999</v>
      </c>
      <c r="D56" s="8">
        <f t="shared" si="7"/>
        <v>-0.34800000000000003</v>
      </c>
      <c r="E56" s="8">
        <f t="shared" si="8"/>
        <v>-0.16799999999999998</v>
      </c>
      <c r="F56" s="8">
        <f t="shared" si="9"/>
        <v>-1.5410999999999999</v>
      </c>
      <c r="G56" s="9">
        <f t="shared" si="10"/>
        <v>-0.72239062499999962</v>
      </c>
      <c r="H56" s="10">
        <v>0.58800000000000008</v>
      </c>
      <c r="I56" s="13"/>
      <c r="J56" s="8">
        <f t="shared" si="11"/>
        <v>0.58800000000000008</v>
      </c>
      <c r="K56" s="5"/>
      <c r="L56" s="5"/>
      <c r="M56" s="19"/>
      <c r="N56" s="21"/>
      <c r="O56" s="13"/>
      <c r="P56" s="13"/>
      <c r="Q56" s="13"/>
    </row>
    <row r="57" spans="1:17" ht="18.75" customHeight="1" x14ac:dyDescent="0.35">
      <c r="A57" s="8">
        <v>35</v>
      </c>
      <c r="B57" s="8">
        <v>2</v>
      </c>
      <c r="C57" s="9">
        <f t="shared" si="6"/>
        <v>-1.1105249999999998</v>
      </c>
      <c r="D57" s="8">
        <f t="shared" si="7"/>
        <v>-0.377</v>
      </c>
      <c r="E57" s="8">
        <f t="shared" si="8"/>
        <v>-0.16799999999999998</v>
      </c>
      <c r="F57" s="8">
        <f t="shared" si="9"/>
        <v>-1.6555249999999997</v>
      </c>
      <c r="G57" s="9">
        <f t="shared" si="10"/>
        <v>-0.82776249999999985</v>
      </c>
      <c r="H57" s="10">
        <v>0.62968223938223999</v>
      </c>
      <c r="I57" s="13"/>
      <c r="J57" s="8">
        <f t="shared" si="11"/>
        <v>0.62968223938223999</v>
      </c>
      <c r="K57" s="5"/>
      <c r="L57" s="5"/>
      <c r="M57" s="19"/>
      <c r="N57" s="21"/>
      <c r="O57" s="13"/>
      <c r="P57" s="13"/>
      <c r="Q57" s="13"/>
    </row>
    <row r="58" spans="1:17" ht="18.75" customHeight="1" x14ac:dyDescent="0.35">
      <c r="A58" s="8">
        <v>36</v>
      </c>
      <c r="B58" s="8">
        <v>1.92</v>
      </c>
      <c r="C58" s="9">
        <f t="shared" si="6"/>
        <v>-1.1959499999999998</v>
      </c>
      <c r="D58" s="8">
        <f t="shared" si="7"/>
        <v>-0.40600000000000003</v>
      </c>
      <c r="E58" s="8">
        <f t="shared" si="8"/>
        <v>-0.16799999999999998</v>
      </c>
      <c r="F58" s="8">
        <f t="shared" si="9"/>
        <v>-1.7699499999999999</v>
      </c>
      <c r="G58" s="9">
        <f t="shared" si="10"/>
        <v>-0.92184895833333336</v>
      </c>
      <c r="H58" s="10">
        <v>0.67768313492063503</v>
      </c>
      <c r="I58" s="13"/>
      <c r="J58" s="8">
        <f t="shared" si="11"/>
        <v>0.67768313492063503</v>
      </c>
      <c r="K58" s="5"/>
      <c r="L58" s="5"/>
      <c r="M58" s="19"/>
      <c r="N58" s="21"/>
      <c r="O58" s="13"/>
      <c r="P58" s="13"/>
      <c r="Q58" s="13"/>
    </row>
    <row r="59" spans="1:17" ht="18.75" customHeight="1" x14ac:dyDescent="0.35">
      <c r="A59" s="8">
        <v>37</v>
      </c>
      <c r="B59" s="8">
        <v>1.84</v>
      </c>
      <c r="C59" s="9">
        <f t="shared" si="6"/>
        <v>-1.2813749999999997</v>
      </c>
      <c r="D59" s="8">
        <f t="shared" si="7"/>
        <v>-0.435</v>
      </c>
      <c r="E59" s="8">
        <f t="shared" si="8"/>
        <v>-0.16799999999999998</v>
      </c>
      <c r="F59" s="8">
        <f t="shared" si="9"/>
        <v>-1.8843749999999997</v>
      </c>
      <c r="G59" s="9">
        <f t="shared" si="10"/>
        <v>-1.0241168478260867</v>
      </c>
      <c r="H59" s="10">
        <v>0.72869244897959007</v>
      </c>
      <c r="I59" s="13"/>
      <c r="J59" s="8">
        <f t="shared" si="11"/>
        <v>0.72869244897959007</v>
      </c>
      <c r="K59" s="5"/>
      <c r="L59" s="5"/>
      <c r="M59" s="19"/>
      <c r="N59" s="21"/>
      <c r="O59" s="13"/>
      <c r="P59" s="13"/>
      <c r="Q59" s="13"/>
    </row>
    <row r="60" spans="1:17" ht="18.75" customHeight="1" x14ac:dyDescent="0.35">
      <c r="A60" s="8">
        <v>38</v>
      </c>
      <c r="B60" s="8">
        <v>1.76</v>
      </c>
      <c r="C60" s="9">
        <f t="shared" si="6"/>
        <v>-1.3667999999999998</v>
      </c>
      <c r="D60" s="8">
        <f t="shared" si="7"/>
        <v>-0.46400000000000002</v>
      </c>
      <c r="E60" s="8">
        <f t="shared" si="8"/>
        <v>-0.16799999999999998</v>
      </c>
      <c r="F60" s="8">
        <f t="shared" si="9"/>
        <v>-1.9987999999999997</v>
      </c>
      <c r="G60" s="9">
        <f t="shared" si="10"/>
        <v>-1.135681818181818</v>
      </c>
      <c r="H60" s="10">
        <v>0.78242899159664003</v>
      </c>
      <c r="I60" s="13"/>
      <c r="J60" s="8">
        <f t="shared" si="11"/>
        <v>0.78242899159664003</v>
      </c>
      <c r="K60" s="5"/>
      <c r="L60" s="5"/>
      <c r="M60" s="19"/>
      <c r="N60" s="21"/>
      <c r="O60" s="13"/>
      <c r="P60" s="13"/>
      <c r="Q60" s="13"/>
    </row>
    <row r="61" spans="1:17" ht="18.75" customHeight="1" x14ac:dyDescent="0.35">
      <c r="A61" s="8">
        <v>39</v>
      </c>
      <c r="B61" s="8">
        <v>1.68</v>
      </c>
      <c r="C61" s="9">
        <f t="shared" si="6"/>
        <v>-1.4522249999999999</v>
      </c>
      <c r="D61" s="8">
        <f t="shared" si="7"/>
        <v>-0.49300000000000005</v>
      </c>
      <c r="E61" s="8">
        <f t="shared" si="8"/>
        <v>-0.16799999999999998</v>
      </c>
      <c r="F61" s="8">
        <f t="shared" si="9"/>
        <v>-2.1132249999999999</v>
      </c>
      <c r="G61" s="9">
        <f t="shared" si="10"/>
        <v>-1.2578720238095238</v>
      </c>
      <c r="H61" s="10">
        <v>0.83970389610389495</v>
      </c>
      <c r="I61" s="13"/>
      <c r="J61" s="8">
        <f t="shared" si="11"/>
        <v>0.83970389610389495</v>
      </c>
      <c r="K61" s="5"/>
      <c r="L61" s="5"/>
      <c r="M61" s="19"/>
      <c r="N61" s="21"/>
      <c r="O61" s="13"/>
      <c r="P61" s="13"/>
      <c r="Q61" s="13"/>
    </row>
    <row r="62" spans="1:17" ht="18.75" customHeight="1" x14ac:dyDescent="0.35">
      <c r="A62" s="8">
        <v>40</v>
      </c>
      <c r="B62" s="8">
        <v>1.6</v>
      </c>
      <c r="C62" s="9">
        <f t="shared" si="6"/>
        <v>-1.5376499999999997</v>
      </c>
      <c r="D62" s="8">
        <f t="shared" si="7"/>
        <v>-0.52200000000000002</v>
      </c>
      <c r="E62" s="8">
        <f t="shared" si="8"/>
        <v>-0.16799999999999998</v>
      </c>
      <c r="F62" s="8">
        <f t="shared" si="9"/>
        <v>-2.2276499999999997</v>
      </c>
      <c r="G62" s="9">
        <f t="shared" si="10"/>
        <v>-1.3922812499999997</v>
      </c>
      <c r="H62" s="10">
        <v>0.9002680803571449</v>
      </c>
      <c r="I62" s="13"/>
      <c r="J62" s="8">
        <f t="shared" si="11"/>
        <v>0.9002680803571449</v>
      </c>
      <c r="K62" s="5"/>
      <c r="L62" s="5"/>
      <c r="M62" s="19"/>
      <c r="N62" s="21"/>
      <c r="O62" s="13"/>
      <c r="P62" s="13"/>
      <c r="Q6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Szenariodefinition</vt:lpstr>
      <vt:lpstr>Szenariojahre</vt:lpstr>
      <vt:lpstr>Mobilitätsgruppen</vt:lpstr>
      <vt:lpstr>Fahrzeug</vt:lpstr>
      <vt:lpstr>Batteriekapazitaet</vt:lpstr>
      <vt:lpstr>Fahrzeug_alle_Jahre</vt:lpstr>
      <vt:lpstr>Laden_Wirkungsgrad</vt:lpstr>
      <vt:lpstr>Ladeleistung_real</vt:lpstr>
      <vt:lpstr>Ladetyp</vt:lpstr>
      <vt:lpstr>Ladeleistung</vt:lpstr>
      <vt:lpstr>Ladewahrscheinlichkeit</vt:lpstr>
      <vt:lpstr>Temperaturabhaengigkeit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Cheng, Jiaying</cp:lastModifiedBy>
  <dcterms:created xsi:type="dcterms:W3CDTF">2025-08-12T11:34:21Z</dcterms:created>
  <dcterms:modified xsi:type="dcterms:W3CDTF">2025-08-12T11:34:55Z</dcterms:modified>
</cp:coreProperties>
</file>